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dab976e2f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週班表" sheetId="1" r:id="Rcb929d6948f84471"/>
    <x:sheet xmlns:r="http://schemas.openxmlformats.org/officeDocument/2006/relationships" name="班次明細" sheetId="2" r:id="R225f8738ccda41a0"/>
    <x:sheet xmlns:r="http://schemas.openxmlformats.org/officeDocument/2006/relationships" name="人力缺口" sheetId="3" r:id="R9f271738e9a44942"/>
    <x:sheet xmlns:r="http://schemas.openxmlformats.org/officeDocument/2006/relationships" name="工時與休假" sheetId="4" r:id="R8544be82f0784781"/>
    <x:sheet xmlns:r="http://schemas.openxmlformats.org/officeDocument/2006/relationships" name="閱讀與待確認" sheetId="5" r:id="Rbf3baec2fe694089"/>
    <x:sheet xmlns:r="http://schemas.openxmlformats.org/officeDocument/2006/relationships" name="規則與技能" sheetId="6" r:id="R26231c4f9f324e92"/>
    <x:sheet xmlns:r="http://schemas.openxmlformats.org/officeDocument/2006/relationships" name="整月工時表" sheetId="7" r:id="Re143b97a56ec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/d"/>
    <x:numFmt numFmtId="201" formatCode="hh:mm"/>
    <x:numFmt numFmtId="202" formatCode="0.0"/>
    <x:numFmt numFmtId="203" formatCode="0"/>
    <x:numFmt numFmtId="204" formatCode="d"/>
  </x:numFmts>
  <x:fonts count="16">
    <x:font>
      <x:sz val="11"/>
      <x:name val="Carlito"/>
    </x:font>
    <x:font>
      <x:sz val="11"/>
      <x:color rgb="FF243746"/>
      <x:name val="Microsoft JhengHei"/>
    </x:font>
    <x:font>
      <x:b/>
      <x:sz val="18"/>
      <x:color rgb="FFFFFFFF"/>
      <x:name val="Microsoft JhengHei"/>
    </x:font>
    <x:font>
      <x:sz val="10"/>
      <x:color rgb="FF243746"/>
      <x:name val="Microsoft JhengHei"/>
    </x:font>
    <x:font>
      <x:b/>
      <x:sz val="11"/>
      <x:color rgb="FFFFFFFF"/>
      <x:name val="Microsoft JhengHei"/>
    </x:font>
    <x:font>
      <x:sz val="11"/>
      <x:color rgb="FF1D4ED8"/>
      <x:name val="Microsoft JhengHei"/>
    </x:font>
    <x:font>
      <x:b/>
      <x:sz val="11"/>
      <x:color rgb="FF243746"/>
      <x:name val="Microsoft JhengHei"/>
    </x:font>
    <x:font>
      <x:sz val="10"/>
      <x:color rgb="FF52636E"/>
      <x:name val="Microsoft JhengHei"/>
    </x:font>
    <x:font>
      <x:b/>
      <x:sz val="16"/>
      <x:color rgb="FFFFFFFF"/>
      <x:name val="Microsoft JhengHei"/>
    </x:font>
    <x:font>
      <x:b/>
      <x:sz val="10"/>
      <x:color rgb="FF243746"/>
      <x:name val="Microsoft JhengHei"/>
    </x:font>
    <x:font>
      <x:b/>
      <x:sz val="9"/>
      <x:color rgb="FFFFFFFF"/>
      <x:name val="Microsoft JhengHei"/>
    </x:font>
    <x:font>
      <x:sz val="8"/>
      <x:color rgb="FF243746"/>
      <x:name val="Microsoft JhengHei"/>
    </x:font>
    <x:font>
      <x:sz val="9"/>
      <x:color rgb="FF1D4ED8"/>
      <x:name val="Microsoft JhengHei"/>
    </x:font>
    <x:font>
      <x:b/>
      <x:sz val="9"/>
      <x:color rgb="FF243746"/>
      <x:name val="Microsoft JhengHei"/>
    </x:font>
    <x:font>
      <x:sz val="8"/>
      <x:color rgb="FF1D4ED8"/>
      <x:name val="Microsoft JhengHei"/>
    </x:font>
    <x:font>
      <x:sz val="8"/>
      <x:color rgb="FFAEB8BD"/>
      <x:name val="Microsoft JhengHei"/>
    </x:font>
  </x:fonts>
  <x:fills count="15">
    <x:fill>
      <x:patternFill patternType="none"/>
    </x:fill>
    <x:fill>
      <x:patternFill patternType="gray125"/>
    </x:fill>
    <x:fill>
      <x:patternFill patternType="solid">
        <x:fgColor rgb="FF245C58"/>
      </x:patternFill>
    </x:fill>
    <x:fill>
      <x:patternFill patternType="solid">
        <x:fgColor rgb="FFEAF3F0"/>
      </x:patternFill>
    </x:fill>
    <x:fill>
      <x:patternFill patternType="solid">
        <x:fgColor rgb="FF243746"/>
      </x:patternFill>
    </x:fill>
    <x:fill>
      <x:patternFill patternType="solid">
        <x:fgColor rgb="FFFCE4D1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245C58"/>
      </x:patternFill>
    </x:fill>
    <x:fill>
      <x:patternFill patternType="solid">
        <x:fgColor rgb="FFEAF3F0"/>
      </x:patternFill>
    </x:fill>
    <x:fill>
      <x:patternFill patternType="solid">
        <x:fgColor rgb="FF23394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4D1"/>
      </x:patternFill>
    </x:fill>
    <x:fill>
      <x:patternFill patternType="solid">
        <x:fgColor rgb="FFECEFF1"/>
      </x:patternFill>
    </x:fill>
  </x:fills>
  <x:borders count="9">
    <x:border/>
    <x:border>
      <x:left style="thin">
        <x:color rgb="FFC9D3D8"/>
      </x:left>
      <x:top style="thin">
        <x:color rgb="FFC9D3D8"/>
      </x:top>
    </x:border>
    <x:border>
      <x:top style="thin">
        <x:color rgb="FFC9D3D8"/>
      </x:top>
    </x:border>
    <x:border>
      <x:right style="thin">
        <x:color rgb="FFC9D3D8"/>
      </x:right>
      <x:top style="thin">
        <x:color rgb="FFC9D3D8"/>
      </x:top>
    </x:border>
    <x:border>
      <x:left style="thin">
        <x:color rgb="FFC9D3D8"/>
      </x:left>
      <x:bottom style="thin">
        <x:color rgb="FFC9D3D8"/>
      </x:bottom>
    </x:border>
    <x:border>
      <x:bottom style="thin">
        <x:color rgb="FFC9D3D8"/>
      </x:bottom>
    </x:border>
    <x:border>
      <x:right style="thin">
        <x:color rgb="FFC9D3D8"/>
      </x:right>
      <x:bottom style="thin">
        <x:color rgb="FFC9D3D8"/>
      </x:bottom>
    </x:border>
    <x:border>
      <x:left style="thin">
        <x:color rgb="FFC9D3D8"/>
      </x:left>
      <x:right style="thin">
        <x:color rgb="FFC9D3D8"/>
      </x:right>
      <x:top style="thin">
        <x:color rgb="FFC9D3D8"/>
      </x:top>
      <x:bottom style="thin">
        <x:color rgb="FFC9D3D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/>
    </x:xf>
    <x:xf numFmtId="200" fontId="6" fillId="5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2" xfId="0" applyNumberFormat="1" applyFont="1" applyFill="1" applyBorder="1" applyAlignment="1">
      <x:alignment horizontal="center" vertical="center"/>
    </x:xf>
    <x:xf numFmtId="0" fontId="1" fillId="7" borderId="5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202" fontId="1" fillId="0" borderId="2" xfId="0" applyNumberFormat="1" applyFont="1" applyFill="1" applyBorder="1" applyAlignment="1">
      <x:alignment horizontal="center" vertical="center"/>
    </x:xf>
    <x:xf numFmtId="202" fontId="1" fillId="0" borderId="5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9" borderId="7" xfId="0" applyNumberFormat="1" applyFont="1" applyFill="1" applyBorder="1" applyAlignment="1">
      <x:alignment horizontal="center" vertical="center"/>
    </x:xf>
    <x:xf numFmtId="0" fontId="9" fillId="9" borderId="7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10" borderId="8" xfId="0" applyNumberFormat="1" applyFont="1" applyFill="1" applyBorder="1" applyAlignment="1">
      <x:alignment horizontal="center" vertical="center"/>
    </x:xf>
    <x:xf numFmtId="0" fontId="10" fillId="10" borderId="8" xfId="0" applyNumberFormat="1" applyFont="1" applyFill="1" applyBorder="1" applyAlignment="1">
      <x:alignment horizontal="center" vertical="center"/>
    </x:xf>
    <x:xf numFmtId="0" fontId="11" fillId="10" borderId="8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left" vertical="center"/>
    </x:xf>
    <x:xf numFmtId="0" fontId="12" fillId="0" borderId="7" xfId="0" applyNumberFormat="1" applyFont="1" applyFill="1" applyBorder="1" applyAlignment="1">
      <x:alignment horizontal="center" vertical="center"/>
    </x:xf>
    <x:xf numFmtId="202" fontId="3" fillId="0" borderId="7" xfId="0" applyNumberFormat="1" applyFont="1" applyFill="1" applyBorder="1" applyAlignment="1">
      <x:alignment horizontal="center" vertical="center"/>
    </x:xf>
    <x:xf numFmtId="203" fontId="3" fillId="0" borderId="7" xfId="0" applyNumberFormat="1" applyFont="1" applyFill="1" applyBorder="1" applyAlignment="1">
      <x:alignment horizontal="center" vertical="center"/>
    </x:xf>
    <x:xf numFmtId="0" fontId="3" fillId="9" borderId="7" xfId="0" applyNumberFormat="1" applyFont="1" applyFill="1" applyBorder="1" applyAlignment="1">
      <x:alignment vertical="center"/>
    </x:xf>
    <x:xf numFmtId="0" fontId="13" fillId="9" borderId="7" xfId="0" applyNumberFormat="1" applyFont="1" applyFill="1" applyBorder="1" applyAlignment="1">
      <x:alignment vertical="center"/>
    </x:xf>
    <x:xf numFmtId="202" fontId="13" fillId="9" borderId="7" xfId="0" applyNumberFormat="1" applyFont="1" applyFill="1" applyBorder="1" applyAlignment="1">
      <x:alignment vertical="center"/>
    </x:xf>
    <x:xf numFmtId="203" fontId="13" fillId="9" borderId="7" xfId="0" applyNumberFormat="1" applyFont="1" applyFill="1" applyBorder="1" applyAlignment="1">
      <x:alignment vertical="center"/>
    </x:xf>
    <x:xf numFmtId="0" fontId="10" fillId="11" borderId="8" xfId="0" applyNumberFormat="1" applyFont="1" applyFill="1" applyBorder="1" applyAlignment="1">
      <x:alignment horizontal="center" vertical="center"/>
    </x:xf>
    <x:xf numFmtId="0" fontId="11" fillId="11" borderId="8" xfId="0" applyNumberFormat="1" applyFont="1" applyFill="1" applyBorder="1" applyAlignment="1">
      <x:alignment horizontal="center" vertical="center"/>
    </x:xf>
    <x:xf numFmtId="0" fontId="12" fillId="11" borderId="7" xfId="0" applyNumberFormat="1" applyFont="1" applyFill="1" applyBorder="1" applyAlignment="1">
      <x:alignment horizontal="center" vertical="center"/>
    </x:xf>
    <x:xf numFmtId="0" fontId="3" fillId="11" borderId="0" xfId="0" applyNumberFormat="1" applyFont="1" applyFill="1" applyBorder="1" applyAlignment="1">
      <x:alignment vertical="center"/>
    </x:xf>
    <x:xf numFmtId="202" fontId="13" fillId="11" borderId="7" xfId="0" applyNumberFormat="1" applyFont="1" applyFill="1" applyBorder="1" applyAlignment="1">
      <x:alignment vertical="center"/>
    </x:xf>
    <x:xf numFmtId="203" fontId="13" fillId="11" borderId="7" xfId="0" applyNumberFormat="1" applyFont="1" applyFill="1" applyBorder="1" applyAlignment="1">
      <x:alignment vertical="center"/>
    </x:xf>
    <x:xf numFmtId="204" fontId="10" fillId="11" borderId="8" xfId="0" applyNumberFormat="1" applyFont="1" applyFill="1" applyBorder="1" applyAlignment="1">
      <x:alignment horizontal="center" vertical="center"/>
    </x:xf>
    <x:xf numFmtId="204" fontId="10" fillId="10" borderId="8" xfId="0" applyNumberFormat="1" applyFont="1" applyFill="1" applyBorder="1" applyAlignment="1">
      <x:alignment horizontal="center" vertical="center"/>
    </x:xf>
    <x:xf numFmtId="0" fontId="11" fillId="12" borderId="8" xfId="0" applyNumberFormat="1" applyFont="1" applyFill="1" applyBorder="1" applyAlignment="1">
      <x:alignment horizontal="center" vertical="center"/>
    </x:xf>
    <x:xf numFmtId="204" fontId="10" fillId="13" borderId="8" xfId="0" applyNumberFormat="1" applyFont="1" applyFill="1" applyBorder="1" applyAlignment="1">
      <x:alignment horizontal="center" vertical="center"/>
    </x:xf>
    <x:xf numFmtId="0" fontId="10" fillId="13" borderId="8" xfId="0" applyNumberFormat="1" applyFont="1" applyFill="1" applyBorder="1" applyAlignment="1">
      <x:alignment horizontal="center" vertical="center"/>
    </x:xf>
    <x:xf numFmtId="204" fontId="13" fillId="13" borderId="8" xfId="0" applyNumberFormat="1" applyFont="1" applyFill="1" applyBorder="1" applyAlignment="1">
      <x:alignment horizontal="center" vertical="center"/>
    </x:xf>
    <x:xf numFmtId="0" fontId="13" fillId="13" borderId="8" xfId="0" applyNumberFormat="1" applyFont="1" applyFill="1" applyBorder="1" applyAlignment="1">
      <x:alignment horizontal="center" vertical="center"/>
    </x:xf>
    <x:xf numFmtId="204" fontId="10" fillId="14" borderId="8" xfId="0" applyNumberFormat="1" applyFont="1" applyFill="1" applyBorder="1" applyAlignment="1">
      <x:alignment horizontal="center" vertical="center"/>
    </x:xf>
    <x:xf numFmtId="0" fontId="10" fillId="14" borderId="8" xfId="0" applyNumberFormat="1" applyFont="1" applyFill="1" applyBorder="1" applyAlignment="1">
      <x:alignment horizontal="center" vertical="center"/>
    </x:xf>
    <x:xf numFmtId="0" fontId="11" fillId="14" borderId="8" xfId="0" applyNumberFormat="1" applyFont="1" applyFill="1" applyBorder="1" applyAlignment="1">
      <x:alignment horizontal="center" vertical="center"/>
    </x:xf>
    <x:xf numFmtId="0" fontId="12" fillId="14" borderId="7" xfId="0" applyNumberFormat="1" applyFont="1" applyFill="1" applyBorder="1" applyAlignment="1">
      <x:alignment horizontal="center" vertical="center"/>
    </x:xf>
    <x:xf numFmtId="0" fontId="3" fillId="14" borderId="0" xfId="0" applyNumberFormat="1" applyFont="1" applyFill="1" applyBorder="1" applyAlignment="1">
      <x:alignment vertical="center"/>
    </x:xf>
    <x:xf numFmtId="202" fontId="13" fillId="14" borderId="7" xfId="0" applyNumberFormat="1" applyFont="1" applyFill="1" applyBorder="1" applyAlignment="1">
      <x:alignment vertical="center"/>
    </x:xf>
    <x:xf numFmtId="203" fontId="13" fillId="14" borderId="7" xfId="0" applyNumberFormat="1" applyFont="1" applyFill="1" applyBorder="1" applyAlignment="1">
      <x:alignment vertical="center"/>
    </x:xf>
    <x:xf numFmtId="0" fontId="14" fillId="11" borderId="7" xfId="0" applyNumberFormat="1" applyFont="1" applyFill="1" applyBorder="1" applyAlignment="1">
      <x:alignment horizontal="center" vertical="center"/>
    </x:xf>
    <x:xf numFmtId="0" fontId="14" fillId="6" borderId="7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</x:cellXfs>
  <x:cellStyles count="1">
    <x:cellStyle name="Normal" xfId="0"/>
  </x:cellStyles>
  <x:dxfs count="11">
    <x:dxf>
      <x:font>
        <x:color rgb="FF9F2525"/>
      </x:font>
      <x:fill>
        <x:patternFill>
          <x:bgColor rgb="FFFCE2E2"/>
        </x:patternFill>
      </x:fill>
    </x:dxf>
    <x:dxf>
      <x:font>
        <x:color rgb="FF9F2525"/>
      </x:font>
      <x:fill>
        <x:patternFill>
          <x:bgColor rgb="FFFFF2CC"/>
        </x:patternFill>
      </x:fill>
    </x:dxf>
    <x:dxf>
      <x:font>
        <x:color rgb="FF9F2525"/>
      </x:font>
      <x:fill>
        <x:patternFill>
          <x:bgColor rgb="FFFCE2E2"/>
        </x:patternFill>
      </x:fill>
    </x:dxf>
    <x:dxf>
      <x:font>
        <x:color rgb="FF9F2525"/>
      </x:font>
      <x:fill>
        <x:patternFill>
          <x:bgColor rgb="FFFCE2E2"/>
        </x:patternFill>
      </x:fill>
    </x:dxf>
    <x:dxf>
      <x:font>
        <x:color rgb="FF9F2525"/>
      </x:font>
      <x:fill>
        <x:patternFill>
          <x:bgColor rgb="FFFCE2E2"/>
        </x:patternFill>
      </x:fill>
    </x:dxf>
    <x:dxf>
      <x:font>
        <x:color rgb="FF9F2525"/>
      </x:font>
      <x:fill>
        <x:patternFill>
          <x:bgColor rgb="FFFCE2E2"/>
        </x:patternFill>
      </x:fill>
    </x:dxf>
    <x:dxf>
      <x:font>
        <x:color rgb="FF243746"/>
      </x:font>
      <x:fill>
        <x:patternFill>
          <x:bgColor rgb="FFFFF2CC"/>
        </x:patternFill>
      </x:fill>
    </x:dxf>
    <x:dxf>
      <x:font>
        <x:color rgb="FF243746"/>
      </x:font>
      <x:fill>
        <x:patternFill>
          <x:bgColor rgb="FFFFF2CC"/>
        </x:patternFill>
      </x:fill>
    </x:dxf>
    <x:dxf>
      <x:font>
        <x:color rgb="FF243746"/>
      </x:font>
      <x:fill>
        <x:patternFill>
          <x:bgColor rgb="FFE2F0D9"/>
        </x:patternFill>
      </x:fill>
    </x:dxf>
    <x:dxf>
      <x:font>
        <x:b/>
        <x:color rgb="FF243746"/>
      </x:font>
      <x:fill>
        <x:patternFill>
          <x:bgColor rgb="FFFFF2CC"/>
        </x:patternFill>
      </x:fill>
    </x:dxf>
    <x:dxf>
      <x:font>
        <x:b/>
        <x:color rgb="FF243746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b4abbada24fbc" /><Relationship Type="http://schemas.openxmlformats.org/officeDocument/2006/relationships/theme" Target="/xl/theme/theme1.xml" Id="R3518bba47ff84625" /><Relationship Type="http://schemas.openxmlformats.org/officeDocument/2006/relationships/sharedStrings" Target="/xl/sharedStrings.xml" Id="R9c05bf58123b46e6" /><Relationship Type="http://schemas.openxmlformats.org/officeDocument/2006/relationships/worksheet" Target="/xl/worksheets/sheet1.xml" Id="Rcb929d6948f84471" /><Relationship Type="http://schemas.openxmlformats.org/officeDocument/2006/relationships/worksheet" Target="/xl/worksheets/sheet2.xml" Id="R225f8738ccda41a0" /><Relationship Type="http://schemas.openxmlformats.org/officeDocument/2006/relationships/worksheet" Target="/xl/worksheets/sheet3.xml" Id="R9f271738e9a44942" /><Relationship Type="http://schemas.openxmlformats.org/officeDocument/2006/relationships/worksheet" Target="/xl/worksheets/sheet4.xml" Id="R8544be82f0784781" /><Relationship Type="http://schemas.openxmlformats.org/officeDocument/2006/relationships/worksheet" Target="/xl/worksheets/sheet5.xml" Id="Rbf3baec2fe694089" /><Relationship Type="http://schemas.openxmlformats.org/officeDocument/2006/relationships/worksheet" Target="/xl/worksheets/sheet6.xml" Id="R26231c4f9f324e92" /><Relationship Type="http://schemas.openxmlformats.org/officeDocument/2006/relationships/worksheet" Target="/xl/worksheets/sheet7.xml" Id="Re143b97a56ec45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2" hidden="0" customWidth="1"/>
    <x:col min="11" max="11" width="12" hidden="0" customWidth="1"/>
  </x:cols>
  <x:sheetData>
    <x:row r="1" ht="38" customHeight="1">
      <x:c r="A1" s="4" t="str">
        <x:v>義式餐廳｜9/14–9/20 第二週驗收試排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3" customHeight="1">
      <x:c r="A2" s="7" t="str">
        <x:v>餐期缺口：午餐11:00～16:00、晚餐16:00～21:00。正職在可排且能力相符時優先；其他分時差異由主管現場協調。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0" t="str">
        <x:v>身分</x:v>
      </x:c>
      <x:c r="B5" s="10" t="str">
        <x:v>姓名</x:v>
      </x:c>
      <x:c r="C5" s="18" t="n">
        <x:v>46279</x:v>
      </x:c>
      <x:c r="D5" s="18" t="n">
        <x:v>46280</x:v>
      </x:c>
      <x:c r="E5" s="18" t="n">
        <x:v>46281</x:v>
      </x:c>
      <x:c r="F5" s="18" t="n">
        <x:v>46282</x:v>
      </x:c>
      <x:c r="G5" s="18" t="n">
        <x:v>46283</x:v>
      </x:c>
      <x:c r="H5" s="23" t="n">
        <x:v>46284</x:v>
      </x:c>
      <x:c r="I5" s="23" t="n">
        <x:v>46285</x:v>
      </x:c>
      <x:c r="J5" s="19" t="str">
        <x:v>週工時</x:v>
      </x:c>
      <x:c r="K5" s="19" t="str">
        <x:v>工作天</x:v>
      </x:c>
    </x:row>
    <x:row r="6" ht="24" customHeight="1">
      <x:c r="A6" s="2"/>
      <x:c r="B6" s="2"/>
      <x:c r="C6" s="20" t="str">
        <x:v>一</x:v>
      </x:c>
      <x:c r="D6" s="20" t="str">
        <x:v>二</x:v>
      </x:c>
      <x:c r="E6" s="20" t="str">
        <x:v>三</x:v>
      </x:c>
      <x:c r="F6" s="20" t="str">
        <x:v>四</x:v>
      </x:c>
      <x:c r="G6" s="20" t="str">
        <x:v>五</x:v>
      </x:c>
      <x:c r="H6" s="22" t="str">
        <x:v>六</x:v>
      </x:c>
      <x:c r="I6" s="22" t="str">
        <x:v>日</x:v>
      </x:c>
      <x:c r="J6" s="20"/>
      <x:c r="K6" s="20"/>
    </x:row>
    <x:row r="7" ht="31" customHeight="1">
      <x:c r="A7" s="24" t="str">
        <x:v>店長</x:v>
      </x:c>
      <x:c r="B7" s="25" t="str">
        <x:v>Meryl</x:v>
      </x:c>
      <x:c r="C7" s="26" t="str">
        <x:f>IF('班次明細'!L6&gt;0,TEXT('班次明細'!G6,"hh:mm")&amp;"–"&amp;TEXT('班次明細'!H6,"hh:mm"),'班次明細'!E6)</x:f>
        <x:v>11:30–21:30</x:v>
      </x:c>
      <x:c r="D7" s="26" t="str">
        <x:f>IF('班次明細'!L7&gt;0,TEXT('班次明細'!G7,"hh:mm")&amp;"–"&amp;TEXT('班次明細'!H7,"hh:mm"),'班次明細'!E7)</x:f>
        <x:v>11:30–21:30</x:v>
      </x:c>
      <x:c r="E7" s="26" t="str">
        <x:f>IF('班次明細'!L8&gt;0,TEXT('班次明細'!G8,"hh:mm")&amp;"–"&amp;TEXT('班次明細'!H8,"hh:mm"),'班次明細'!E8)</x:f>
        <x:v>未排（可排）</x:v>
      </x:c>
      <x:c r="F7" s="26" t="str">
        <x:f>IF('班次明細'!L9&gt;0,TEXT('班次明細'!G9,"hh:mm")&amp;"–"&amp;TEXT('班次明細'!H9,"hh:mm"),'班次明細'!E9)</x:f>
        <x:v>11:30–21:30</x:v>
      </x:c>
      <x:c r="G7" s="26" t="str">
        <x:f>IF('班次明細'!L10&gt;0,TEXT('班次明細'!G10,"hh:mm")&amp;"–"&amp;TEXT('班次明細'!H10,"hh:mm"),'班次明細'!E10)</x:f>
        <x:v>11:30–21:30</x:v>
      </x:c>
      <x:c r="H7" s="26" t="str">
        <x:f>IF('班次明細'!L11&gt;0,TEXT('班次明細'!G11,"hh:mm")&amp;"–"&amp;TEXT('班次明細'!H11,"hh:mm"),'班次明細'!E11)</x:f>
        <x:v>10:00–20:00</x:v>
      </x:c>
      <x:c r="I7" s="26" t="str">
        <x:f>IF('班次明細'!L12&gt;0,TEXT('班次明細'!G12,"hh:mm")&amp;"–"&amp;TEXT('班次明細'!H12,"hh:mm"),'班次明細'!E12)</x:f>
        <x:v>未排（可排）</x:v>
      </x:c>
      <x:c r="J7" s="41" t="n">
        <x:f>'工時與休假'!C6</x:f>
        <x:v>40.00000000000001</x:v>
      </x:c>
      <x:c r="K7" s="27" t="n">
        <x:f>'工時與休假'!D6</x:f>
        <x:v>5</x:v>
      </x:c>
    </x:row>
    <x:row r="8" ht="25" customHeight="1">
      <x:c r="A8" s="28"/>
      <x:c r="B8" s="29"/>
      <x:c r="C8" s="32" t="str">
        <x:f>IF('班次明細'!L6&gt;0,'班次明細'!O6,"—")</x:f>
        <x:v>吧台</x:v>
      </x:c>
      <x:c r="D8" s="32" t="str">
        <x:f>IF('班次明細'!L7&gt;0,'班次明細'!O7,"—")</x:f>
        <x:v>外場；料區</x:v>
      </x:c>
      <x:c r="E8" s="32" t="str">
        <x:f>IF('班次明細'!L8&gt;0,'班次明細'!O8,"—")</x:f>
        <x:v>—</x:v>
      </x:c>
      <x:c r="F8" s="32" t="str">
        <x:f>IF('班次明細'!L9&gt;0,'班次明細'!O9,"—")</x:f>
        <x:v>司爐</x:v>
      </x:c>
      <x:c r="G8" s="32" t="str">
        <x:f>IF('班次明細'!L10&gt;0,'班次明細'!O10,"—")</x:f>
        <x:v>吧台</x:v>
      </x:c>
      <x:c r="H8" s="32" t="str">
        <x:f>IF('班次明細'!L11&gt;0,'班次明細'!O11,"—")</x:f>
        <x:v>外場；控場</x:v>
      </x:c>
      <x:c r="I8" s="32" t="str">
        <x:f>IF('班次明細'!L12&gt;0,'班次明細'!O12,"—")</x:f>
        <x:v>—</x:v>
      </x:c>
      <x:c r="J8" s="42"/>
      <x:c r="K8" s="31"/>
    </x:row>
    <x:row r="9" ht="31" customHeight="1">
      <x:c r="A9" s="24" t="str">
        <x:v>正職</x:v>
      </x:c>
      <x:c r="B9" s="25" t="str">
        <x:v>Tom</x:v>
      </x:c>
      <x:c r="C9" s="26" t="str">
        <x:f>IF('班次明細'!L13&gt;0,TEXT('班次明細'!G13,"hh:mm")&amp;"–"&amp;TEXT('班次明細'!H13,"hh:mm"),'班次明細'!E13)</x:f>
        <x:v>11:00–21:00</x:v>
      </x:c>
      <x:c r="D9" s="26" t="str">
        <x:f>IF('班次明細'!L14&gt;0,TEXT('班次明細'!G14,"hh:mm")&amp;"–"&amp;TEXT('班次明細'!H14,"hh:mm"),'班次明細'!E14)</x:f>
        <x:v>11:00–21:00</x:v>
      </x:c>
      <x:c r="E9" s="26" t="str">
        <x:f>IF('班次明細'!L15&gt;0,TEXT('班次明細'!G15,"hh:mm")&amp;"–"&amp;TEXT('班次明細'!H15,"hh:mm"),'班次明細'!E15)</x:f>
        <x:v>11:30–21:30</x:v>
      </x:c>
      <x:c r="F9" s="26" t="str">
        <x:f>IF('班次明細'!L16&gt;0,TEXT('班次明細'!G16,"hh:mm")&amp;"–"&amp;TEXT('班次明細'!H16,"hh:mm"),'班次明細'!E16)</x:f>
        <x:v>未排（可排）</x:v>
      </x:c>
      <x:c r="G9" s="34" t="str">
        <x:f>IF('班次明細'!L17&gt;0,TEXT('班次明細'!G17,"hh:mm")&amp;"–"&amp;TEXT('班次明細'!H17,"hh:mm"),'班次明細'!E17)</x:f>
        <x:v>不可排／指定休</x:v>
      </x:c>
      <x:c r="H9" s="26" t="str">
        <x:f>IF('班次明細'!L18&gt;0,TEXT('班次明細'!G18,"hh:mm")&amp;"–"&amp;TEXT('班次明細'!H18,"hh:mm"),'班次明細'!E18)</x:f>
        <x:v>11:00–21:00</x:v>
      </x:c>
      <x:c r="I9" s="26" t="str">
        <x:f>IF('班次明細'!L19&gt;0,TEXT('班次明細'!G19,"hh:mm")&amp;"–"&amp;TEXT('班次明細'!H19,"hh:mm"),'班次明細'!E19)</x:f>
        <x:v>11:00–21:00</x:v>
      </x:c>
      <x:c r="J9" s="41" t="n">
        <x:f>'工時與休假'!C7</x:f>
        <x:v>40</x:v>
      </x:c>
      <x:c r="K9" s="27" t="n">
        <x:f>'工時與休假'!D7</x:f>
        <x:v>5</x:v>
      </x:c>
    </x:row>
    <x:row r="10" ht="25" customHeight="1">
      <x:c r="A10" s="28"/>
      <x:c r="B10" s="29"/>
      <x:c r="C10" s="32" t="str">
        <x:f>IF('班次明細'!L13&gt;0,'班次明細'!O13,"—")</x:f>
        <x:v>外場</x:v>
      </x:c>
      <x:c r="D10" s="32" t="str">
        <x:f>IF('班次明細'!L14&gt;0,'班次明細'!O14,"—")</x:f>
        <x:v>司爐</x:v>
      </x:c>
      <x:c r="E10" s="32" t="str">
        <x:f>IF('班次明細'!L15&gt;0,'班次明細'!O15,"—")</x:f>
        <x:v>吧台</x:v>
      </x:c>
      <x:c r="F10" s="32" t="str">
        <x:f>IF('班次明細'!L16&gt;0,'班次明細'!O16,"—")</x:f>
        <x:v>—</x:v>
      </x:c>
      <x:c r="G10" s="36" t="str">
        <x:f>IF('班次明細'!L17&gt;0,'班次明細'!O17,"—")</x:f>
        <x:v>—</x:v>
      </x:c>
      <x:c r="H10" s="32" t="str">
        <x:f>IF('班次明細'!L18&gt;0,'班次明細'!O18,"—")</x:f>
        <x:v>吧台</x:v>
      </x:c>
      <x:c r="I10" s="32" t="str">
        <x:f>IF('班次明細'!L19&gt;0,'班次明細'!O19,"—")</x:f>
        <x:v>控場</x:v>
      </x:c>
      <x:c r="J10" s="42"/>
      <x:c r="K10" s="31"/>
    </x:row>
    <x:row r="11" ht="31" customHeight="1">
      <x:c r="A11" s="24" t="str">
        <x:v>正職</x:v>
      </x:c>
      <x:c r="B11" s="25" t="str">
        <x:v>Emma</x:v>
      </x:c>
      <x:c r="C11" s="34" t="str">
        <x:f>IF('班次明細'!L20&gt;0,TEXT('班次明細'!G20,"hh:mm")&amp;"–"&amp;TEXT('班次明細'!H20,"hh:mm"),'班次明細'!E20)</x:f>
        <x:v>不可排／指定休</x:v>
      </x:c>
      <x:c r="D11" s="26" t="str">
        <x:f>IF('班次明細'!L21&gt;0,TEXT('班次明細'!G21,"hh:mm")&amp;"–"&amp;TEXT('班次明細'!H21,"hh:mm"),'班次明細'!E21)</x:f>
        <x:v>11:30–21:30</x:v>
      </x:c>
      <x:c r="E11" s="26" t="str">
        <x:f>IF('班次明細'!L22&gt;0,TEXT('班次明細'!G22,"hh:mm")&amp;"–"&amp;TEXT('班次明細'!H22,"hh:mm"),'班次明細'!E22)</x:f>
        <x:v>11:00–21:00</x:v>
      </x:c>
      <x:c r="F11" s="26" t="str">
        <x:f>IF('班次明細'!L23&gt;0,TEXT('班次明細'!G23,"hh:mm")&amp;"–"&amp;TEXT('班次明細'!H23,"hh:mm"),'班次明細'!E23)</x:f>
        <x:v>11:00–21:00</x:v>
      </x:c>
      <x:c r="G11" s="26" t="str">
        <x:f>IF('班次明細'!L24&gt;0,TEXT('班次明細'!G24,"hh:mm")&amp;"–"&amp;TEXT('班次明細'!H24,"hh:mm"),'班次明細'!E24)</x:f>
        <x:v>11:00–21:00</x:v>
      </x:c>
      <x:c r="H11" s="26" t="str">
        <x:f>IF('班次明細'!L25&gt;0,TEXT('班次明細'!G25,"hh:mm")&amp;"–"&amp;TEXT('班次明細'!H25,"hh:mm"),'班次明細'!E25)</x:f>
        <x:v>未排（可排）</x:v>
      </x:c>
      <x:c r="I11" s="26" t="str">
        <x:f>IF('班次明細'!L26&gt;0,TEXT('班次明細'!G26,"hh:mm")&amp;"–"&amp;TEXT('班次明細'!H26,"hh:mm"),'班次明細'!E26)</x:f>
        <x:v>11:30–21:30</x:v>
      </x:c>
      <x:c r="J11" s="41" t="n">
        <x:f>'工時與休假'!C8</x:f>
        <x:v>40</x:v>
      </x:c>
      <x:c r="K11" s="27" t="n">
        <x:f>'工時與休假'!D8</x:f>
        <x:v>5</x:v>
      </x:c>
    </x:row>
    <x:row r="12" ht="25" customHeight="1">
      <x:c r="A12" s="28"/>
      <x:c r="B12" s="29"/>
      <x:c r="C12" s="36" t="str">
        <x:f>IF('班次明細'!L20&gt;0,'班次明細'!O20,"—")</x:f>
        <x:v>—</x:v>
      </x:c>
      <x:c r="D12" s="32" t="str">
        <x:f>IF('班次明細'!L21&gt;0,'班次明細'!O21,"—")</x:f>
        <x:v>吧台</x:v>
      </x:c>
      <x:c r="E12" s="32" t="str">
        <x:f>IF('班次明細'!L22&gt;0,'班次明細'!O22,"—")</x:f>
        <x:v>外場</x:v>
      </x:c>
      <x:c r="F12" s="32" t="str">
        <x:f>IF('班次明細'!L23&gt;0,'班次明細'!O23,"—")</x:f>
        <x:v>外場</x:v>
      </x:c>
      <x:c r="G12" s="32" t="str">
        <x:f>IF('班次明細'!L24&gt;0,'班次明細'!O24,"—")</x:f>
        <x:v>外場</x:v>
      </x:c>
      <x:c r="H12" s="32" t="str">
        <x:f>IF('班次明細'!L25&gt;0,'班次明細'!O25,"—")</x:f>
        <x:v>—</x:v>
      </x:c>
      <x:c r="I12" s="32" t="str">
        <x:f>IF('班次明細'!L26&gt;0,'班次明細'!O26,"—")</x:f>
        <x:v>外場</x:v>
      </x:c>
      <x:c r="J12" s="42"/>
      <x:c r="K12" s="31"/>
    </x:row>
    <x:row r="13" ht="31" customHeight="1">
      <x:c r="A13" s="24" t="str">
        <x:v>工讀</x:v>
      </x:c>
      <x:c r="B13" s="25" t="str">
        <x:v>Brad</x:v>
      </x:c>
      <x:c r="C13" s="26" t="str">
        <x:f>IF('班次明細'!L27&gt;0,TEXT('班次明細'!G27,"hh:mm")&amp;"–"&amp;TEXT('班次明細'!H27,"hh:mm"),'班次明細'!E27)</x:f>
        <x:v>18:00–21:30</x:v>
      </x:c>
      <x:c r="D13" s="26" t="str">
        <x:f>IF('班次明細'!L28&gt;0,TEXT('班次明細'!G28,"hh:mm")&amp;"–"&amp;TEXT('班次明細'!H28,"hh:mm"),'班次明細'!E28)</x:f>
        <x:v>18:00–21:30</x:v>
      </x:c>
      <x:c r="E13" s="26" t="str">
        <x:f>IF('班次明細'!L29&gt;0,TEXT('班次明細'!G29,"hh:mm")&amp;"–"&amp;TEXT('班次明細'!H29,"hh:mm"),'班次明細'!E29)</x:f>
        <x:v>未排（可排）</x:v>
      </x:c>
      <x:c r="F13" s="26" t="str">
        <x:f>IF('班次明細'!L30&gt;0,TEXT('班次明細'!G30,"hh:mm")&amp;"–"&amp;TEXT('班次明細'!H30,"hh:mm"),'班次明細'!E30)</x:f>
        <x:v>12:00–18:00</x:v>
      </x:c>
      <x:c r="G13" s="26" t="str">
        <x:f>IF('班次明細'!L31&gt;0,TEXT('班次明細'!G31,"hh:mm")&amp;"–"&amp;TEXT('班次明細'!H31,"hh:mm"),'班次明細'!E31)</x:f>
        <x:v>18:00–21:30</x:v>
      </x:c>
      <x:c r="H13" s="26" t="str">
        <x:f>IF('班次明細'!L32&gt;0,TEXT('班次明細'!G32,"hh:mm")&amp;"–"&amp;TEXT('班次明細'!H32,"hh:mm"),'班次明細'!E32)</x:f>
        <x:v>未排（可排）</x:v>
      </x:c>
      <x:c r="I13" s="26" t="str">
        <x:f>IF('班次明細'!L33&gt;0,TEXT('班次明細'!G33,"hh:mm")&amp;"–"&amp;TEXT('班次明細'!H33,"hh:mm"),'班次明細'!E33)</x:f>
        <x:v>12:00–22:00</x:v>
      </x:c>
      <x:c r="J13" s="41" t="n">
        <x:f>'工時與休假'!C9</x:f>
        <x:v>24.000000000000004</x:v>
      </x:c>
      <x:c r="K13" s="27" t="n">
        <x:f>'工時與休假'!D9</x:f>
        <x:v>5</x:v>
      </x:c>
    </x:row>
    <x:row r="14" ht="25" customHeight="1">
      <x:c r="A14" s="28"/>
      <x:c r="B14" s="29"/>
      <x:c r="C14" s="32" t="str">
        <x:f>IF('班次明細'!L27&gt;0,'班次明細'!O27,"—")</x:f>
        <x:v>司爐</x:v>
      </x:c>
      <x:c r="D14" s="32" t="str">
        <x:f>IF('班次明細'!L28&gt;0,'班次明細'!O28,"—")</x:f>
        <x:v>炸區</x:v>
      </x:c>
      <x:c r="E14" s="32" t="str">
        <x:f>IF('班次明細'!L29&gt;0,'班次明細'!O29,"—")</x:f>
        <x:v>—</x:v>
      </x:c>
      <x:c r="F14" s="32" t="str">
        <x:f>IF('班次明細'!L30&gt;0,'班次明細'!O30,"—")</x:f>
        <x:v>炸區</x:v>
      </x:c>
      <x:c r="G14" s="32" t="str">
        <x:f>IF('班次明細'!L31&gt;0,'班次明細'!O31,"—")</x:f>
        <x:v>司爐</x:v>
      </x:c>
      <x:c r="H14" s="32" t="str">
        <x:f>IF('班次明細'!L32&gt;0,'班次明細'!O32,"—")</x:f>
        <x:v>—</x:v>
      </x:c>
      <x:c r="I14" s="32" t="str">
        <x:f>IF('班次明細'!L33&gt;0,'班次明細'!O33,"—")</x:f>
        <x:v>司爐</x:v>
      </x:c>
      <x:c r="J14" s="42"/>
      <x:c r="K14" s="31"/>
    </x:row>
    <x:row r="15" ht="31" customHeight="1">
      <x:c r="A15" s="24" t="str">
        <x:v>工讀</x:v>
      </x:c>
      <x:c r="B15" s="25" t="str">
        <x:v>Keanu</x:v>
      </x:c>
      <x:c r="C15" s="34" t="str">
        <x:f>IF('班次明細'!L34&gt;0,TEXT('班次明細'!G34,"hh:mm")&amp;"–"&amp;TEXT('班次明細'!H34,"hh:mm"),'班次明細'!E34)</x:f>
        <x:v>未排（非給班）</x:v>
      </x:c>
      <x:c r="D15" s="34" t="str">
        <x:f>IF('班次明細'!L35&gt;0,TEXT('班次明細'!G35,"hh:mm")&amp;"–"&amp;TEXT('班次明細'!H35,"hh:mm"),'班次明細'!E35)</x:f>
        <x:v>未排（非給班）</x:v>
      </x:c>
      <x:c r="E15" s="26" t="str">
        <x:f>IF('班次明細'!L36&gt;0,TEXT('班次明細'!G36,"hh:mm")&amp;"–"&amp;TEXT('班次明細'!H36,"hh:mm"),'班次明細'!E36)</x:f>
        <x:v>未排（可排）</x:v>
      </x:c>
      <x:c r="F15" s="26" t="str">
        <x:f>IF('班次明細'!L37&gt;0,TEXT('班次明細'!G37,"hh:mm")&amp;"–"&amp;TEXT('班次明細'!H37,"hh:mm"),'班次明細'!E37)</x:f>
        <x:v>11:30–21:30</x:v>
      </x:c>
      <x:c r="G15" s="34" t="str">
        <x:f>IF('班次明細'!L38&gt;0,TEXT('班次明細'!G38,"hh:mm")&amp;"–"&amp;TEXT('班次明細'!H38,"hh:mm"),'班次明細'!E38)</x:f>
        <x:v>未排（非給班）</x:v>
      </x:c>
      <x:c r="H15" s="38" t="str">
        <x:f>IF('班次明細'!L39&gt;0,TEXT('班次明細'!G39,"hh:mm")&amp;"–"&amp;TEXT('班次明細'!H39,"hh:mm"),'班次明細'!E39)</x:f>
        <x:v>17:00–22:00</x:v>
      </x:c>
      <x:c r="I15" s="26" t="str">
        <x:f>IF('班次明細'!L40&gt;0,TEXT('班次明細'!G40,"hh:mm")&amp;"–"&amp;TEXT('班次明細'!H40,"hh:mm"),'班次明細'!E40)</x:f>
        <x:v>11:30–21:30</x:v>
      </x:c>
      <x:c r="J15" s="41" t="n">
        <x:f>'工時與休假'!C10</x:f>
        <x:v>20.499999999999996</x:v>
      </x:c>
      <x:c r="K15" s="27" t="n">
        <x:f>'工時與休假'!D10</x:f>
        <x:v>3</x:v>
      </x:c>
    </x:row>
    <x:row r="16" ht="25" customHeight="1">
      <x:c r="A16" s="28"/>
      <x:c r="B16" s="29"/>
      <x:c r="C16" s="36" t="str">
        <x:f>IF('班次明細'!L34&gt;0,'班次明細'!O34,"—")</x:f>
        <x:v>—</x:v>
      </x:c>
      <x:c r="D16" s="36" t="str">
        <x:f>IF('班次明細'!L35&gt;0,'班次明細'!O35,"—")</x:f>
        <x:v>—</x:v>
      </x:c>
      <x:c r="E16" s="32" t="str">
        <x:f>IF('班次明細'!L36&gt;0,'班次明細'!O36,"—")</x:f>
        <x:v>—</x:v>
      </x:c>
      <x:c r="F16" s="32" t="str">
        <x:f>IF('班次明細'!L37&gt;0,'班次明細'!O37,"—")</x:f>
        <x:v>吧台</x:v>
      </x:c>
      <x:c r="G16" s="36" t="str">
        <x:f>IF('班次明細'!L38&gt;0,'班次明細'!O38,"—")</x:f>
        <x:v>—</x:v>
      </x:c>
      <x:c r="H16" s="40" t="str">
        <x:f>IF('班次明細'!L39&gt;0,'班次明細'!O39,"—")</x:f>
        <x:v>外場</x:v>
      </x:c>
      <x:c r="I16" s="32" t="str">
        <x:f>IF('班次明細'!L40&gt;0,'班次明細'!O40,"—")</x:f>
        <x:v>吧台</x:v>
      </x:c>
      <x:c r="J16" s="42"/>
      <x:c r="K16" s="31"/>
    </x:row>
    <x:row r="17" ht="31" customHeight="1">
      <x:c r="A17" s="24" t="str">
        <x:v>工讀</x:v>
      </x:c>
      <x:c r="B17" s="25" t="str">
        <x:v>Denzel</x:v>
      </x:c>
      <x:c r="C17" s="26" t="str">
        <x:f>IF('班次明細'!L41&gt;0,TEXT('班次明細'!G41,"hh:mm")&amp;"–"&amp;TEXT('班次明細'!H41,"hh:mm"),'班次明細'!E41)</x:f>
        <x:v>10:00–15:30</x:v>
      </x:c>
      <x:c r="D17" s="34" t="str">
        <x:f>IF('班次明細'!L42&gt;0,TEXT('班次明細'!G42,"hh:mm")&amp;"–"&amp;TEXT('班次明細'!H42,"hh:mm"),'班次明細'!E42)</x:f>
        <x:v>不可排／指定休</x:v>
      </x:c>
      <x:c r="E17" s="26" t="str">
        <x:f>IF('班次明細'!L43&gt;0,TEXT('班次明細'!G43,"hh:mm")&amp;"–"&amp;TEXT('班次明細'!H43,"hh:mm"),'班次明細'!E43)</x:f>
        <x:v>未排（可排）</x:v>
      </x:c>
      <x:c r="F17" s="26" t="str">
        <x:f>IF('班次明細'!L44&gt;0,TEXT('班次明細'!G44,"hh:mm")&amp;"–"&amp;TEXT('班次明細'!H44,"hh:mm"),'班次明細'!E44)</x:f>
        <x:v>未排（可排）</x:v>
      </x:c>
      <x:c r="G17" s="34" t="str">
        <x:f>IF('班次明細'!L45&gt;0,TEXT('班次明細'!G45,"hh:mm")&amp;"–"&amp;TEXT('班次明細'!H45,"hh:mm"),'班次明細'!E45)</x:f>
        <x:v>不可排／指定休</x:v>
      </x:c>
      <x:c r="H17" s="26" t="str">
        <x:f>IF('班次明細'!L46&gt;0,TEXT('班次明細'!G46,"hh:mm")&amp;"–"&amp;TEXT('班次明細'!H46,"hh:mm"),'班次明細'!E46)</x:f>
        <x:v>11:30–21:30</x:v>
      </x:c>
      <x:c r="I17" s="26" t="str">
        <x:f>IF('班次明細'!L47&gt;0,TEXT('班次明細'!G47,"hh:mm")&amp;"–"&amp;TEXT('班次明細'!H47,"hh:mm"),'班次明細'!E47)</x:f>
        <x:v>10:00–20:00</x:v>
      </x:c>
      <x:c r="J17" s="41" t="n">
        <x:f>'工時與休假'!C11</x:f>
        <x:v>21</x:v>
      </x:c>
      <x:c r="K17" s="27" t="n">
        <x:f>'工時與休假'!D11</x:f>
        <x:v>3</x:v>
      </x:c>
    </x:row>
    <x:row r="18" ht="25" customHeight="1">
      <x:c r="A18" s="28"/>
      <x:c r="B18" s="29"/>
      <x:c r="C18" s="32" t="str">
        <x:f>IF('班次明細'!L41&gt;0,'班次明細'!O41,"—")</x:f>
        <x:v>司爐</x:v>
      </x:c>
      <x:c r="D18" s="36" t="str">
        <x:f>IF('班次明細'!L42&gt;0,'班次明細'!O42,"—")</x:f>
        <x:v>—</x:v>
      </x:c>
      <x:c r="E18" s="32" t="str">
        <x:f>IF('班次明細'!L43&gt;0,'班次明細'!O43,"—")</x:f>
        <x:v>—</x:v>
      </x:c>
      <x:c r="F18" s="32" t="str">
        <x:f>IF('班次明細'!L44&gt;0,'班次明細'!O44,"—")</x:f>
        <x:v>—</x:v>
      </x:c>
      <x:c r="G18" s="36" t="str">
        <x:f>IF('班次明細'!L45&gt;0,'班次明細'!O45,"—")</x:f>
        <x:v>—</x:v>
      </x:c>
      <x:c r="H18" s="32" t="str">
        <x:f>IF('班次明細'!L46&gt;0,'班次明細'!O46,"—")</x:f>
        <x:v>司爐</x:v>
      </x:c>
      <x:c r="I18" s="32" t="str">
        <x:f>IF('班次明細'!L47&gt;0,'班次明細'!O47,"—")</x:f>
        <x:v>料區</x:v>
      </x:c>
      <x:c r="J18" s="42"/>
      <x:c r="K18" s="31"/>
    </x:row>
    <x:row r="19" ht="31" customHeight="1">
      <x:c r="A19" s="24" t="str">
        <x:v>工讀</x:v>
      </x:c>
      <x:c r="B19" s="25" t="str">
        <x:v>Will</x:v>
      </x:c>
      <x:c r="C19" s="26" t="str">
        <x:f>IF('班次明細'!L48&gt;0,TEXT('班次明細'!G48,"hh:mm")&amp;"–"&amp;TEXT('班次明細'!H48,"hh:mm"),'班次明細'!E48)</x:f>
        <x:v>18:00–21:30</x:v>
      </x:c>
      <x:c r="D19" s="26" t="str">
        <x:f>IF('班次明細'!L49&gt;0,TEXT('班次明細'!G49,"hh:mm")&amp;"–"&amp;TEXT('班次明細'!H49,"hh:mm"),'班次明細'!E49)</x:f>
        <x:v>未排（可排）</x:v>
      </x:c>
      <x:c r="E19" s="26" t="str">
        <x:f>IF('班次明細'!L50&gt;0,TEXT('班次明細'!G50,"hh:mm")&amp;"–"&amp;TEXT('班次明細'!H50,"hh:mm"),'班次明細'!E50)</x:f>
        <x:v>18:00–21:30</x:v>
      </x:c>
      <x:c r="F19" s="26" t="str">
        <x:f>IF('班次明細'!L51&gt;0,TEXT('班次明細'!G51,"hh:mm")&amp;"–"&amp;TEXT('班次明細'!H51,"hh:mm"),'班次明細'!E51)</x:f>
        <x:v>18:00–21:30</x:v>
      </x:c>
      <x:c r="G19" s="26" t="str">
        <x:f>IF('班次明細'!L52&gt;0,TEXT('班次明細'!G52,"hh:mm")&amp;"–"&amp;TEXT('班次明細'!H52,"hh:mm"),'班次明細'!E52)</x:f>
        <x:v>18:00–21:30</x:v>
      </x:c>
      <x:c r="H19" s="26" t="str">
        <x:f>IF('班次明細'!L53&gt;0,TEXT('班次明細'!G53,"hh:mm")&amp;"–"&amp;TEXT('班次明細'!H53,"hh:mm"),'班次明細'!E53)</x:f>
        <x:v>11:30–21:30</x:v>
      </x:c>
      <x:c r="I19" s="26" t="str">
        <x:f>IF('班次明細'!L54&gt;0,TEXT('班次明細'!G54,"hh:mm")&amp;"–"&amp;TEXT('班次明細'!H54,"hh:mm"),'班次明細'!E54)</x:f>
        <x:v>未排（可排）</x:v>
      </x:c>
      <x:c r="J19" s="41" t="n">
        <x:f>'工時與休假'!C12</x:f>
        <x:v>22.000000000000007</x:v>
      </x:c>
      <x:c r="K19" s="27" t="n">
        <x:f>'工時與休假'!D12</x:f>
        <x:v>5</x:v>
      </x:c>
    </x:row>
    <x:row r="20" ht="25" customHeight="1">
      <x:c r="A20" s="28"/>
      <x:c r="B20" s="29"/>
      <x:c r="C20" s="32" t="str">
        <x:f>IF('班次明細'!L48&gt;0,'班次明細'!O48,"—")</x:f>
        <x:v>料區</x:v>
      </x:c>
      <x:c r="D20" s="32" t="str">
        <x:f>IF('班次明細'!L49&gt;0,'班次明細'!O49,"—")</x:f>
        <x:v>—</x:v>
      </x:c>
      <x:c r="E20" s="32" t="str">
        <x:f>IF('班次明細'!L50&gt;0,'班次明細'!O50,"—")</x:f>
        <x:v>料區</x:v>
      </x:c>
      <x:c r="F20" s="32" t="str">
        <x:f>IF('班次明細'!L51&gt;0,'班次明細'!O51,"—")</x:f>
        <x:v>料區</x:v>
      </x:c>
      <x:c r="G20" s="32" t="str">
        <x:f>IF('班次明細'!L52&gt;0,'班次明細'!O52,"—")</x:f>
        <x:v>料區</x:v>
      </x:c>
      <x:c r="H20" s="32" t="str">
        <x:f>IF('班次明細'!L53&gt;0,'班次明細'!O53,"—")</x:f>
        <x:v>料區</x:v>
      </x:c>
      <x:c r="I20" s="32" t="str">
        <x:f>IF('班次明細'!L54&gt;0,'班次明細'!O54,"—")</x:f>
        <x:v>—</x:v>
      </x:c>
      <x:c r="J20" s="42"/>
      <x:c r="K20" s="31"/>
    </x:row>
    <x:row r="21" ht="31" customHeight="1">
      <x:c r="A21" s="24" t="str">
        <x:v>工讀</x:v>
      </x:c>
      <x:c r="B21" s="25" t="str">
        <x:v>Leo</x:v>
      </x:c>
      <x:c r="C21" s="34" t="str">
        <x:f>IF('班次明細'!L55&gt;0,TEXT('班次明細'!G55,"hh:mm")&amp;"–"&amp;TEXT('班次明細'!H55,"hh:mm"),'班次明細'!E55)</x:f>
        <x:v>不可排／指定休</x:v>
      </x:c>
      <x:c r="D21" s="26" t="str">
        <x:f>IF('班次明細'!L56&gt;0,TEXT('班次明細'!G56,"hh:mm")&amp;"–"&amp;TEXT('班次明細'!H56,"hh:mm"),'班次明細'!E56)</x:f>
        <x:v>未排（可排）</x:v>
      </x:c>
      <x:c r="E21" s="26" t="str">
        <x:f>IF('班次明細'!L57&gt;0,TEXT('班次明細'!G57,"hh:mm")&amp;"–"&amp;TEXT('班次明細'!H57,"hh:mm"),'班次明細'!E57)</x:f>
        <x:v>18:00–21:30</x:v>
      </x:c>
      <x:c r="F21" s="26" t="str">
        <x:f>IF('班次明細'!L58&gt;0,TEXT('班次明細'!G58,"hh:mm")&amp;"–"&amp;TEXT('班次明細'!H58,"hh:mm"),'班次明細'!E58)</x:f>
        <x:v>18:00–21:30</x:v>
      </x:c>
      <x:c r="G21" s="34" t="str">
        <x:f>IF('班次明細'!L59&gt;0,TEXT('班次明細'!G59,"hh:mm")&amp;"–"&amp;TEXT('班次明細'!H59,"hh:mm"),'班次明細'!E59)</x:f>
        <x:v>不可排／指定休</x:v>
      </x:c>
      <x:c r="H21" s="26" t="str">
        <x:f>IF('班次明細'!L60&gt;0,TEXT('班次明細'!G60,"hh:mm")&amp;"–"&amp;TEXT('班次明細'!H60,"hh:mm"),'班次明細'!E60)</x:f>
        <x:v>12:00–22:00</x:v>
      </x:c>
      <x:c r="I21" s="26" t="str">
        <x:f>IF('班次明細'!L61&gt;0,TEXT('班次明細'!G61,"hh:mm")&amp;"–"&amp;TEXT('班次明細'!H61,"hh:mm"),'班次明細'!E61)</x:f>
        <x:v>12:00–18:00</x:v>
      </x:c>
      <x:c r="J21" s="41" t="n">
        <x:f>'工時與休假'!C13</x:f>
        <x:v>20.5</x:v>
      </x:c>
      <x:c r="K21" s="27" t="n">
        <x:f>'工時與休假'!D13</x:f>
        <x:v>4</x:v>
      </x:c>
    </x:row>
    <x:row r="22" ht="25" customHeight="1">
      <x:c r="A22" s="28"/>
      <x:c r="B22" s="29"/>
      <x:c r="C22" s="36" t="str">
        <x:f>IF('班次明細'!L55&gt;0,'班次明細'!O55,"—")</x:f>
        <x:v>—</x:v>
      </x:c>
      <x:c r="D22" s="32" t="str">
        <x:f>IF('班次明細'!L56&gt;0,'班次明細'!O56,"—")</x:f>
        <x:v>—</x:v>
      </x:c>
      <x:c r="E22" s="32" t="str">
        <x:f>IF('班次明細'!L57&gt;0,'班次明細'!O57,"—")</x:f>
        <x:v>炸區</x:v>
      </x:c>
      <x:c r="F22" s="32" t="str">
        <x:f>IF('班次明細'!L58&gt;0,'班次明細'!O58,"—")</x:f>
        <x:v>拍區</x:v>
      </x:c>
      <x:c r="G22" s="36" t="str">
        <x:f>IF('班次明細'!L59&gt;0,'班次明細'!O59,"—")</x:f>
        <x:v>—</x:v>
      </x:c>
      <x:c r="H22" s="32" t="str">
        <x:f>IF('班次明細'!L60&gt;0,'班次明細'!O60,"—")</x:f>
        <x:v>拍區</x:v>
      </x:c>
      <x:c r="I22" s="32" t="str">
        <x:f>IF('班次明細'!L61&gt;0,'班次明細'!O61,"—")</x:f>
        <x:v>拍區</x:v>
      </x:c>
      <x:c r="J22" s="42"/>
      <x:c r="K22" s="31"/>
    </x:row>
    <x:row r="23" ht="31" customHeight="1">
      <x:c r="A23" s="24" t="str">
        <x:v>工讀</x:v>
      </x:c>
      <x:c r="B23" s="25" t="str">
        <x:v>Zendaya</x:v>
      </x:c>
      <x:c r="C23" s="26" t="str">
        <x:f>IF('班次明細'!L62&gt;0,TEXT('班次明細'!G62,"hh:mm")&amp;"–"&amp;TEXT('班次明細'!H62,"hh:mm"),'班次明細'!E62)</x:f>
        <x:v>11:00–21:00</x:v>
      </x:c>
      <x:c r="D23" s="26" t="str">
        <x:f>IF('班次明細'!L63&gt;0,TEXT('班次明細'!G63,"hh:mm")&amp;"–"&amp;TEXT('班次明細'!H63,"hh:mm"),'班次明細'!E63)</x:f>
        <x:v>未排（可排）</x:v>
      </x:c>
      <x:c r="E23" s="26" t="str">
        <x:f>IF('班次明細'!L64&gt;0,TEXT('班次明細'!G64,"hh:mm")&amp;"–"&amp;TEXT('班次明細'!H64,"hh:mm"),'班次明細'!E64)</x:f>
        <x:v>11:30–21:30</x:v>
      </x:c>
      <x:c r="F23" s="26" t="str">
        <x:f>IF('班次明細'!L65&gt;0,TEXT('班次明細'!G65,"hh:mm")&amp;"–"&amp;TEXT('班次明細'!H65,"hh:mm"),'班次明細'!E65)</x:f>
        <x:v>未排（可排）</x:v>
      </x:c>
      <x:c r="G23" s="26" t="str">
        <x:f>IF('班次明細'!L66&gt;0,TEXT('班次明細'!G66,"hh:mm")&amp;"–"&amp;TEXT('班次明細'!H66,"hh:mm"),'班次明細'!E66)</x:f>
        <x:v>11:30–21:30</x:v>
      </x:c>
      <x:c r="H23" s="34" t="str">
        <x:f>IF('班次明細'!L67&gt;0,TEXT('班次明細'!G67,"hh:mm")&amp;"–"&amp;TEXT('班次明細'!H67,"hh:mm"),'班次明細'!E67)</x:f>
        <x:v>不可排／指定休</x:v>
      </x:c>
      <x:c r="I23" s="34" t="str">
        <x:f>IF('班次明細'!L68&gt;0,TEXT('班次明細'!G68,"hh:mm")&amp;"–"&amp;TEXT('班次明細'!H68,"hh:mm"),'班次明細'!E68)</x:f>
        <x:v>不可排／指定休</x:v>
      </x:c>
      <x:c r="J23" s="41" t="n">
        <x:f>'工時與休假'!C14</x:f>
        <x:v>23.999999999999996</x:v>
      </x:c>
      <x:c r="K23" s="27" t="n">
        <x:f>'工時與休假'!D14</x:f>
        <x:v>3</x:v>
      </x:c>
    </x:row>
    <x:row r="24" ht="25" customHeight="1">
      <x:c r="A24" s="28"/>
      <x:c r="B24" s="29"/>
      <x:c r="C24" s="32" t="str">
        <x:f>IF('班次明細'!L62&gt;0,'班次明細'!O62,"—")</x:f>
        <x:v>料區；炸區</x:v>
      </x:c>
      <x:c r="D24" s="32" t="str">
        <x:f>IF('班次明細'!L63&gt;0,'班次明細'!O63,"—")</x:f>
        <x:v>—</x:v>
      </x:c>
      <x:c r="E24" s="32" t="str">
        <x:f>IF('班次明細'!L64&gt;0,'班次明細'!O64,"—")</x:f>
        <x:v>司爐</x:v>
      </x:c>
      <x:c r="F24" s="32" t="str">
        <x:f>IF('班次明細'!L65&gt;0,'班次明細'!O65,"—")</x:f>
        <x:v>—</x:v>
      </x:c>
      <x:c r="G24" s="32" t="str">
        <x:f>IF('班次明細'!L66&gt;0,'班次明細'!O66,"—")</x:f>
        <x:v>司爐；炸區</x:v>
      </x:c>
      <x:c r="H24" s="36" t="str">
        <x:f>IF('班次明細'!L67&gt;0,'班次明細'!O67,"—")</x:f>
        <x:v>—</x:v>
      </x:c>
      <x:c r="I24" s="36" t="str">
        <x:f>IF('班次明細'!L68&gt;0,'班次明細'!O68,"—")</x:f>
        <x:v>—</x:v>
      </x:c>
      <x:c r="J24" s="42"/>
      <x:c r="K24" s="31"/>
    </x:row>
    <x:row r="25" ht="31" customHeight="1">
      <x:c r="A25" s="24" t="str">
        <x:v>工讀</x:v>
      </x:c>
      <x:c r="B25" s="25" t="str">
        <x:v>Morgan</x:v>
      </x:c>
      <x:c r="C25" s="26" t="str">
        <x:f>IF('班次明細'!L69&gt;0,TEXT('班次明細'!G69,"hh:mm")&amp;"–"&amp;TEXT('班次明細'!H69,"hh:mm"),'班次明細'!E69)</x:f>
        <x:v>未排（可排）</x:v>
      </x:c>
      <x:c r="D25" s="26" t="str">
        <x:f>IF('班次明細'!L70&gt;0,TEXT('班次明細'!G70,"hh:mm")&amp;"–"&amp;TEXT('班次明細'!H70,"hh:mm"),'班次明細'!E70)</x:f>
        <x:v>10:00–15:30</x:v>
      </x:c>
      <x:c r="E25" s="26" t="str">
        <x:f>IF('班次明細'!L71&gt;0,TEXT('班次明細'!G71,"hh:mm")&amp;"–"&amp;TEXT('班次明細'!H71,"hh:mm"),'班次明細'!E71)</x:f>
        <x:v>10:00–15:30</x:v>
      </x:c>
      <x:c r="F25" s="26" t="str">
        <x:f>IF('班次明細'!L72&gt;0,TEXT('班次明細'!G72,"hh:mm")&amp;"–"&amp;TEXT('班次明細'!H72,"hh:mm"),'班次明細'!E72)</x:f>
        <x:v>10:00–15:30</x:v>
      </x:c>
      <x:c r="G25" s="26" t="str">
        <x:f>IF('班次明細'!L73&gt;0,TEXT('班次明細'!G73,"hh:mm")&amp;"–"&amp;TEXT('班次明細'!H73,"hh:mm"),'班次明細'!E73)</x:f>
        <x:v>10:00–15:30</x:v>
      </x:c>
      <x:c r="H25" s="26" t="str">
        <x:f>IF('班次明細'!L74&gt;0,TEXT('班次明細'!G74,"hh:mm")&amp;"–"&amp;TEXT('班次明細'!H74,"hh:mm"),'班次明細'!E74)</x:f>
        <x:v>未排（可排）</x:v>
      </x:c>
      <x:c r="I25" s="26" t="str">
        <x:f>IF('班次明細'!L75&gt;0,TEXT('班次明細'!G75,"hh:mm")&amp;"–"&amp;TEXT('班次明細'!H75,"hh:mm"),'班次明細'!E75)</x:f>
        <x:v>未排（可排）</x:v>
      </x:c>
      <x:c r="J25" s="41" t="n">
        <x:f>'工時與休假'!C15</x:f>
        <x:v>19.999999999999996</x:v>
      </x:c>
      <x:c r="K25" s="27" t="n">
        <x:f>'工時與休假'!D15</x:f>
        <x:v>4</x:v>
      </x:c>
    </x:row>
    <x:row r="26" ht="25" customHeight="1">
      <x:c r="A26" s="28"/>
      <x:c r="B26" s="29"/>
      <x:c r="C26" s="32" t="str">
        <x:f>IF('班次明細'!L69&gt;0,'班次明細'!O69,"—")</x:f>
        <x:v>—</x:v>
      </x:c>
      <x:c r="D26" s="32" t="str">
        <x:f>IF('班次明細'!L70&gt;0,'班次明細'!O70,"—")</x:f>
        <x:v>料區</x:v>
      </x:c>
      <x:c r="E26" s="32" t="str">
        <x:f>IF('班次明細'!L71&gt;0,'班次明細'!O71,"—")</x:f>
        <x:v>料區</x:v>
      </x:c>
      <x:c r="F26" s="32" t="str">
        <x:f>IF('班次明細'!L72&gt;0,'班次明細'!O72,"—")</x:f>
        <x:v>料區</x:v>
      </x:c>
      <x:c r="G26" s="32" t="str">
        <x:f>IF('班次明細'!L73&gt;0,'班次明細'!O73,"—")</x:f>
        <x:v>料區</x:v>
      </x:c>
      <x:c r="H26" s="32" t="str">
        <x:f>IF('班次明細'!L74&gt;0,'班次明細'!O74,"—")</x:f>
        <x:v>—</x:v>
      </x:c>
      <x:c r="I26" s="32" t="str">
        <x:f>IF('班次明細'!L75&gt;0,'班次明細'!O75,"—")</x:f>
        <x:v>—</x:v>
      </x:c>
      <x:c r="J26" s="42"/>
      <x:c r="K26" s="31"/>
    </x:row>
    <x:row r="27" ht="31" customHeight="1">
      <x:c r="A27" s="24" t="str">
        <x:v>工讀</x:v>
      </x:c>
      <x:c r="B27" s="25" t="str">
        <x:v>Scarlett</x:v>
      </x:c>
      <x:c r="C27" s="26" t="str">
        <x:f>IF('班次明細'!L76&gt;0,TEXT('班次明細'!G76,"hh:mm")&amp;"–"&amp;TEXT('班次明細'!H76,"hh:mm"),'班次明細'!E76)</x:f>
        <x:v>未排（可排）</x:v>
      </x:c>
      <x:c r="D27" s="26" t="str">
        <x:f>IF('班次明細'!L77&gt;0,TEXT('班次明細'!G77,"hh:mm")&amp;"–"&amp;TEXT('班次明細'!H77,"hh:mm"),'班次明細'!E77)</x:f>
        <x:v>17:30–21:30</x:v>
      </x:c>
      <x:c r="E27" s="26" t="str">
        <x:f>IF('班次明細'!L78&gt;0,TEXT('班次明細'!G78,"hh:mm")&amp;"–"&amp;TEXT('班次明細'!H78,"hh:mm"),'班次明細'!E78)</x:f>
        <x:v>未排（可排）</x:v>
      </x:c>
      <x:c r="F27" s="26" t="str">
        <x:f>IF('班次明細'!L79&gt;0,TEXT('班次明細'!G79,"hh:mm")&amp;"–"&amp;TEXT('班次明細'!H79,"hh:mm"),'班次明細'!E79)</x:f>
        <x:v>未排（可排）</x:v>
      </x:c>
      <x:c r="G27" s="26" t="str">
        <x:f>IF('班次明細'!L80&gt;0,TEXT('班次明細'!G80,"hh:mm")&amp;"–"&amp;TEXT('班次明細'!H80,"hh:mm"),'班次明細'!E80)</x:f>
        <x:v>17:00–21:00</x:v>
      </x:c>
      <x:c r="H27" s="26" t="str">
        <x:f>IF('班次明細'!L81&gt;0,TEXT('班次明細'!G81,"hh:mm")&amp;"–"&amp;TEXT('班次明細'!H81,"hh:mm"),'班次明細'!E81)</x:f>
        <x:v>11:00–21:00</x:v>
      </x:c>
      <x:c r="I27" s="26" t="str">
        <x:f>IF('班次明細'!L82&gt;0,TEXT('班次明細'!G82,"hh:mm")&amp;"–"&amp;TEXT('班次明細'!H82,"hh:mm"),'班次明細'!E82)</x:f>
        <x:v>11:30–21:30</x:v>
      </x:c>
      <x:c r="J27" s="41" t="n">
        <x:f>'工時與休假'!C16</x:f>
        <x:v>24</x:v>
      </x:c>
      <x:c r="K27" s="27" t="n">
        <x:f>'工時與休假'!D16</x:f>
        <x:v>4</x:v>
      </x:c>
    </x:row>
    <x:row r="28" ht="25" customHeight="1">
      <x:c r="A28" s="28"/>
      <x:c r="B28" s="29"/>
      <x:c r="C28" s="32" t="str">
        <x:f>IF('班次明細'!L76&gt;0,'班次明細'!O76,"—")</x:f>
        <x:v>—</x:v>
      </x:c>
      <x:c r="D28" s="32" t="str">
        <x:f>IF('班次明細'!L77&gt;0,'班次明細'!O77,"—")</x:f>
        <x:v>外場</x:v>
      </x:c>
      <x:c r="E28" s="32" t="str">
        <x:f>IF('班次明細'!L78&gt;0,'班次明細'!O78,"—")</x:f>
        <x:v>—</x:v>
      </x:c>
      <x:c r="F28" s="32" t="str">
        <x:f>IF('班次明細'!L79&gt;0,'班次明細'!O79,"—")</x:f>
        <x:v>—</x:v>
      </x:c>
      <x:c r="G28" s="32" t="str">
        <x:f>IF('班次明細'!L80&gt;0,'班次明細'!O80,"—")</x:f>
        <x:v>司爐</x:v>
      </x:c>
      <x:c r="H28" s="32" t="str">
        <x:f>IF('班次明細'!L81&gt;0,'班次明細'!O81,"—")</x:f>
        <x:v>炸區</x:v>
      </x:c>
      <x:c r="I28" s="32" t="str">
        <x:f>IF('班次明細'!L82&gt;0,'班次明細'!O82,"—")</x:f>
        <x:v>炸區</x:v>
      </x:c>
      <x:c r="J28" s="42"/>
      <x:c r="K28" s="31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1" customHeight="1">
      <x:c r="A30" s="43" t="str">
        <x:v>餐期缺口
（午／晚）</x:v>
      </x:c>
      <x:c r="B30" s="43"/>
      <x:c r="C30" s="43" t="str">
        <x:v>午-0</x:v>
      </x:c>
      <x:c r="D30" s="43" t="str">
        <x:v>午-0</x:v>
      </x:c>
      <x:c r="E30" s="43" t="str">
        <x:v>午-0</x:v>
      </x:c>
      <x:c r="F30" s="43" t="str">
        <x:v>午+1人</x:v>
      </x:c>
      <x:c r="G30" s="43" t="str">
        <x:v>午-0</x:v>
      </x:c>
      <x:c r="H30" s="43" t="str">
        <x:v>午-0</x:v>
      </x:c>
      <x:c r="I30" s="43" t="str">
        <x:v>午-0</x:v>
      </x:c>
      <x:c r="J30" s="2"/>
      <x:c r="K30" s="2"/>
    </x:row>
    <x:row r="31" ht="31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2"/>
      <x:c r="K31" s="2"/>
    </x:row>
    <x:row r="32" ht="31" customHeight="1">
      <x:c r="A32" s="43"/>
      <x:c r="B32" s="43"/>
      <x:c r="C32" s="43" t="str">
        <x:v>晚-0</x:v>
      </x:c>
      <x:c r="D32" s="43" t="str">
        <x:v>晚-0</x:v>
      </x:c>
      <x:c r="E32" s="43" t="str">
        <x:v>晚-0</x:v>
      </x:c>
      <x:c r="F32" s="43" t="str">
        <x:v>晚+1人</x:v>
      </x:c>
      <x:c r="G32" s="43" t="str">
        <x:v>晚-0</x:v>
      </x:c>
      <x:c r="H32" s="43" t="str">
        <x:v>晚-0</x:v>
      </x:c>
      <x:c r="I32" s="43" t="str">
        <x:v>晚-0</x:v>
      </x:c>
      <x:c r="J32" s="2"/>
      <x:c r="K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6" customHeight="1">
      <x:c r="A34" s="45" t="str">
        <x:v>餐期缺口按整段可用人員與主崗能力判定；休息、離峰與收店的半小時差異列於「分時人力」供主管參考，不阻擋班表成立。</x:v>
      </x:c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</x:row>
    <x:row r="35" ht="26" customHeight="1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</x:row>
    <x:row r="36" ht="26" customHeight="1">
      <x:c r="A36" s="45" t="str">
        <x:v>排班順序：先標正職暫定整天與不可排，再套用工讀可排時間，依開店、餐期精確人數與尖峰主要崗位篩選，最後刪除餐期非必要人力。</x:v>
      </x:c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</x:row>
    <x:row r="37" ht="26" customHeight="1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</x:row>
    <x:row r="38" ht="26" customHeight="1">
      <x:c r="A38" s="45" t="str">
        <x:v>正職本週各休2天且未連續上班7天；已接續9/13檢查至9/19。正職月休與四週總量尚未驗證；其他分時差異由主管現場協調。</x:v>
      </x:c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</x:row>
    <x:row r="39" ht="26" customHeight="1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</x:row>
  </x:sheetData>
  <x:mergeCells>
    <x:mergeCell ref="A1:K1"/>
    <x:mergeCell ref="A2:K3"/>
    <x:mergeCell ref="A7:A8"/>
    <x:mergeCell ref="B7:B8"/>
    <x:mergeCell ref="J7:J8"/>
    <x:mergeCell ref="K7:K8"/>
    <x:mergeCell ref="A9:A10"/>
    <x:mergeCell ref="B9:B10"/>
    <x:mergeCell ref="J9:J10"/>
    <x:mergeCell ref="K9:K10"/>
    <x:mergeCell ref="A11:A12"/>
    <x:mergeCell ref="B11:B12"/>
    <x:mergeCell ref="J11:J12"/>
    <x:mergeCell ref="K11:K12"/>
    <x:mergeCell ref="A13:A14"/>
    <x:mergeCell ref="B13:B14"/>
    <x:mergeCell ref="J13:J14"/>
    <x:mergeCell ref="K13:K14"/>
    <x:mergeCell ref="A15:A16"/>
    <x:mergeCell ref="B15:B16"/>
    <x:mergeCell ref="J15:J16"/>
    <x:mergeCell ref="K15:K16"/>
    <x:mergeCell ref="A17:A18"/>
    <x:mergeCell ref="B17:B18"/>
    <x:mergeCell ref="J17:J18"/>
    <x:mergeCell ref="K17:K18"/>
    <x:mergeCell ref="A19:A20"/>
    <x:mergeCell ref="B19:B20"/>
    <x:mergeCell ref="J19:J20"/>
    <x:mergeCell ref="K19:K20"/>
    <x:mergeCell ref="A21:A22"/>
    <x:mergeCell ref="B21:B22"/>
    <x:mergeCell ref="J21:J22"/>
    <x:mergeCell ref="K21:K22"/>
    <x:mergeCell ref="A23:A24"/>
    <x:mergeCell ref="B23:B24"/>
    <x:mergeCell ref="J23:J24"/>
    <x:mergeCell ref="K23:K24"/>
    <x:mergeCell ref="A25:A26"/>
    <x:mergeCell ref="B25:B26"/>
    <x:mergeCell ref="J25:J26"/>
    <x:mergeCell ref="K25:K26"/>
    <x:mergeCell ref="A27:A28"/>
    <x:mergeCell ref="B27:B28"/>
    <x:mergeCell ref="J27:J28"/>
    <x:mergeCell ref="K27:K28"/>
    <x:mergeCell ref="A30:B32"/>
    <x:mergeCell ref="C30:C31"/>
    <x:mergeCell ref="D30:D31"/>
    <x:mergeCell ref="E30:E31"/>
    <x:mergeCell ref="F30:F31"/>
    <x:mergeCell ref="G30:G31"/>
    <x:mergeCell ref="H30:H31"/>
    <x:mergeCell ref="I30:I31"/>
    <x:mergeCell ref="A34:K35"/>
    <x:mergeCell ref="A36:K37"/>
    <x:mergeCell ref="A38:K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8" hidden="0" customWidth="1"/>
    <x:col min="16" max="16" width="52" hidden="0" customWidth="1"/>
  </x:cols>
  <x:sheetData>
    <x:row r="1" ht="38" customHeight="1">
      <x:c r="A1" s="4" t="str">
        <x:v>班次明細｜僅預排，不是實際出勤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3" customHeight="1">
      <x:c r="A2" s="7" t="str">
        <x:v>每人每日一列。G:J 為本次預排；11:30整天班平假日皆可用，假日休息仍由店長依現場調整。K:M 自動計算。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0" customHeight="1">
      <x:c r="A5" s="10" t="str">
        <x:v>日期</x:v>
      </x:c>
      <x:c r="B5" s="10" t="str">
        <x:v>星期</x:v>
      </x:c>
      <x:c r="C5" s="10" t="str">
        <x:v>姓名</x:v>
      </x:c>
      <x:c r="D5" s="10" t="str">
        <x:v>身分</x:v>
      </x:c>
      <x:c r="E5" s="10" t="str">
        <x:v>安排狀態</x:v>
      </x:c>
      <x:c r="F5" s="10" t="str">
        <x:v>班別</x:v>
      </x:c>
      <x:c r="G5" s="10" t="str">
        <x:v>上班</x:v>
      </x:c>
      <x:c r="H5" s="10" t="str">
        <x:v>下班</x:v>
      </x:c>
      <x:c r="I5" s="10" t="str">
        <x:v>休息開始</x:v>
      </x:c>
      <x:c r="J5" s="10" t="str">
        <x:v>休息結束</x:v>
      </x:c>
      <x:c r="K5" s="10" t="str">
        <x:v>休息時數</x:v>
      </x:c>
      <x:c r="L5" s="10" t="str">
        <x:v>淨工時</x:v>
      </x:c>
      <x:c r="M5" s="10" t="str">
        <x:v>最長連續</x:v>
      </x:c>
      <x:c r="N5" s="10" t="str">
        <x:v>整天班</x:v>
      </x:c>
      <x:c r="O5" s="10" t="str">
        <x:v>當日分工方向</x:v>
      </x:c>
      <x:c r="P5" s="10" t="str">
        <x:v>備註</x:v>
      </x:c>
    </x:row>
    <x:row r="6" ht="34" customHeight="1">
      <x:c r="A6" s="12" t="n">
        <x:v>46279</x:v>
      </x:c>
      <x:c r="B6" s="2" t="str">
        <x:v>一</x:v>
      </x:c>
      <x:c r="C6" s="2" t="str">
        <x:v>Meryl</x:v>
      </x:c>
      <x:c r="D6" s="2" t="str">
        <x:v>店長</x:v>
      </x:c>
      <x:c r="E6" s="2" t="str">
        <x:v>預排</x:v>
      </x:c>
      <x:c r="F6" s="2" t="str">
        <x:v>整天11:30</x:v>
      </x:c>
      <x:c r="G6" s="15" t="n">
        <x:v>0.4791666666666667</x:v>
      </x:c>
      <x:c r="H6" s="15" t="n">
        <x:v>0.8958333333333334</x:v>
      </x:c>
      <x:c r="I6" s="15" t="n">
        <x:v>0.6458333333333334</x:v>
      </x:c>
      <x:c r="J6" s="15" t="n">
        <x:v>0.7291666666666666</x:v>
      </x:c>
      <x:c r="K6" s="14" t="n">
        <x:f>IF(COUNT(I6:J6)=2,(J6-I6)*'規則與技能'!$B$11,0)</x:f>
        <x:v>1.9999999999999982</x:v>
      </x:c>
      <x:c r="L6" s="14" t="n">
        <x:f>IF(COUNT(G6:H6)=2,(H6-G6)*'規則與技能'!$B$11-K6,0)</x:f>
        <x:v>8.000000000000002</x:v>
      </x:c>
      <x:c r="M6" s="14" t="n">
        <x:f>IF(L6=0,0,IF(K6&gt;0,MAX((I6-G6)*'規則與技能'!$B$11,(H6-J6)*'規則與技能'!$B$11),L6))</x:f>
        <x:v>4.000000000000002</x:v>
      </x:c>
      <x:c r="N6" s="2" t="n">
        <x:v>1</x:v>
      </x:c>
      <x:c r="O6" s="2" t="str">
        <x:v>吧台</x:v>
      </x:c>
      <x:c r="P6" s="11" t="str">
        <x:v>未提供核定月班，本列為可調整草案</x:v>
      </x:c>
    </x:row>
    <x:row r="7" ht="34" customHeight="1">
      <x:c r="A7" s="12" t="n">
        <x:v>46280</x:v>
      </x:c>
      <x:c r="B7" s="2" t="str">
        <x:v>二</x:v>
      </x:c>
      <x:c r="C7" s="2" t="str">
        <x:v>Meryl</x:v>
      </x:c>
      <x:c r="D7" s="2" t="str">
        <x:v>店長</x:v>
      </x:c>
      <x:c r="E7" s="2" t="str">
        <x:v>預排</x:v>
      </x:c>
      <x:c r="F7" s="2" t="str">
        <x:v>整天11:30</x:v>
      </x:c>
      <x:c r="G7" s="15" t="n">
        <x:v>0.4791666666666667</x:v>
      </x:c>
      <x:c r="H7" s="15" t="n">
        <x:v>0.8958333333333334</x:v>
      </x:c>
      <x:c r="I7" s="15" t="n">
        <x:v>0.6458333333333334</x:v>
      </x:c>
      <x:c r="J7" s="15" t="n">
        <x:v>0.7291666666666666</x:v>
      </x:c>
      <x:c r="K7" s="14" t="n">
        <x:f>IF(COUNT(I7:J7)=2,(J7-I7)*'規則與技能'!$B$11,0)</x:f>
        <x:v>1.9999999999999982</x:v>
      </x:c>
      <x:c r="L7" s="14" t="n">
        <x:f>IF(COUNT(G7:H7)=2,(H7-G7)*'規則與技能'!$B$11-K7,0)</x:f>
        <x:v>8.000000000000002</x:v>
      </x:c>
      <x:c r="M7" s="14" t="n">
        <x:f>IF(L7=0,0,IF(K7&gt;0,MAX((I7-G7)*'規則與技能'!$B$11,(H7-J7)*'規則與技能'!$B$11),L7))</x:f>
        <x:v>4.000000000000002</x:v>
      </x:c>
      <x:c r="N7" s="2" t="n">
        <x:v>1</x:v>
      </x:c>
      <x:c r="O7" s="2" t="str">
        <x:v>外場；料區</x:v>
      </x:c>
      <x:c r="P7" s="11" t="str">
        <x:v>未提供核定月班，本列為可調整草案</x:v>
      </x:c>
    </x:row>
    <x:row r="8" ht="34" customHeight="1">
      <x:c r="A8" s="12" t="n">
        <x:v>46281</x:v>
      </x:c>
      <x:c r="B8" s="2" t="str">
        <x:v>三</x:v>
      </x:c>
      <x:c r="C8" s="2" t="str">
        <x:v>Meryl</x:v>
      </x:c>
      <x:c r="D8" s="2" t="str">
        <x:v>店長</x:v>
      </x:c>
      <x:c r="E8" s="2" t="str">
        <x:v>未排（可排）</x:v>
      </x:c>
      <x:c r="F8" s="2" t="str">
        <x:v>—</x:v>
      </x:c>
      <x:c r="G8" s="15"/>
      <x:c r="H8" s="15"/>
      <x:c r="I8" s="15"/>
      <x:c r="J8" s="15"/>
      <x:c r="K8" s="14" t="n">
        <x:f>IF(COUNT(I8:J8)=2,(J8-I8)*'規則與技能'!$B$11,0)</x:f>
        <x:v>0</x:v>
      </x:c>
      <x:c r="L8" s="14" t="n">
        <x:f>IF(COUNT(G8:H8)=2,(H8-G8)*'規則與技能'!$B$11-K8,0)</x:f>
        <x:v>0</x:v>
      </x:c>
      <x:c r="M8" s="14" t="n">
        <x:f>IF(L8=0,0,IF(K8&gt;0,MAX((I8-G8)*'規則與技能'!$B$11,(H8-J8)*'規則與技能'!$B$11),L8))</x:f>
        <x:v>0</x:v>
      </x:c>
      <x:c r="N8" s="2" t="n">
        <x:v>0</x:v>
      </x:c>
      <x:c r="O8" s="2" t="str">
        <x:v>—</x:v>
      </x:c>
      <x:c r="P8" s="11" t="str">
        <x:v>未提供核定月班，本列為可調整草案</x:v>
      </x:c>
    </x:row>
    <x:row r="9" ht="34" customHeight="1">
      <x:c r="A9" s="12" t="n">
        <x:v>46282</x:v>
      </x:c>
      <x:c r="B9" s="2" t="str">
        <x:v>四</x:v>
      </x:c>
      <x:c r="C9" s="2" t="str">
        <x:v>Meryl</x:v>
      </x:c>
      <x:c r="D9" s="2" t="str">
        <x:v>店長</x:v>
      </x:c>
      <x:c r="E9" s="2" t="str">
        <x:v>預排</x:v>
      </x:c>
      <x:c r="F9" s="2" t="str">
        <x:v>整天11:30</x:v>
      </x:c>
      <x:c r="G9" s="15" t="n">
        <x:v>0.4791666666666667</x:v>
      </x:c>
      <x:c r="H9" s="15" t="n">
        <x:v>0.8958333333333334</x:v>
      </x:c>
      <x:c r="I9" s="15" t="n">
        <x:v>0.6458333333333334</x:v>
      </x:c>
      <x:c r="J9" s="15" t="n">
        <x:v>0.7291666666666666</x:v>
      </x:c>
      <x:c r="K9" s="14" t="n">
        <x:f>IF(COUNT(I9:J9)=2,(J9-I9)*'規則與技能'!$B$11,0)</x:f>
        <x:v>1.9999999999999982</x:v>
      </x:c>
      <x:c r="L9" s="14" t="n">
        <x:f>IF(COUNT(G9:H9)=2,(H9-G9)*'規則與技能'!$B$11-K9,0)</x:f>
        <x:v>8.000000000000002</x:v>
      </x:c>
      <x:c r="M9" s="14" t="n">
        <x:f>IF(L9=0,0,IF(K9&gt;0,MAX((I9-G9)*'規則與技能'!$B$11,(H9-J9)*'規則與技能'!$B$11),L9))</x:f>
        <x:v>4.000000000000002</x:v>
      </x:c>
      <x:c r="N9" s="2" t="n">
        <x:v>1</x:v>
      </x:c>
      <x:c r="O9" s="2" t="str">
        <x:v>司爐</x:v>
      </x:c>
      <x:c r="P9" s="11" t="str">
        <x:v>未提供核定月班，本列為可調整草案</x:v>
      </x:c>
    </x:row>
    <x:row r="10" ht="34" customHeight="1">
      <x:c r="A10" s="12" t="n">
        <x:v>46283</x:v>
      </x:c>
      <x:c r="B10" s="2" t="str">
        <x:v>五</x:v>
      </x:c>
      <x:c r="C10" s="2" t="str">
        <x:v>Meryl</x:v>
      </x:c>
      <x:c r="D10" s="2" t="str">
        <x:v>店長</x:v>
      </x:c>
      <x:c r="E10" s="2" t="str">
        <x:v>預排</x:v>
      </x:c>
      <x:c r="F10" s="2" t="str">
        <x:v>整天11:30</x:v>
      </x:c>
      <x:c r="G10" s="15" t="n">
        <x:v>0.4791666666666667</x:v>
      </x:c>
      <x:c r="H10" s="15" t="n">
        <x:v>0.8958333333333334</x:v>
      </x:c>
      <x:c r="I10" s="15" t="n">
        <x:v>0.6458333333333334</x:v>
      </x:c>
      <x:c r="J10" s="15" t="n">
        <x:v>0.7291666666666666</x:v>
      </x:c>
      <x:c r="K10" s="14" t="n">
        <x:f>IF(COUNT(I10:J10)=2,(J10-I10)*'規則與技能'!$B$11,0)</x:f>
        <x:v>1.9999999999999982</x:v>
      </x:c>
      <x:c r="L10" s="14" t="n">
        <x:f>IF(COUNT(G10:H10)=2,(H10-G10)*'規則與技能'!$B$11-K10,0)</x:f>
        <x:v>8.000000000000002</x:v>
      </x:c>
      <x:c r="M10" s="14" t="n">
        <x:f>IF(L10=0,0,IF(K10&gt;0,MAX((I10-G10)*'規則與技能'!$B$11,(H10-J10)*'規則與技能'!$B$11),L10))</x:f>
        <x:v>4.000000000000002</x:v>
      </x:c>
      <x:c r="N10" s="2" t="n">
        <x:v>1</x:v>
      </x:c>
      <x:c r="O10" s="2" t="str">
        <x:v>吧台</x:v>
      </x:c>
      <x:c r="P10" s="11" t="str">
        <x:v>未提供核定月班，本列為可調整草案</x:v>
      </x:c>
    </x:row>
    <x:row r="11" ht="34" customHeight="1">
      <x:c r="A11" s="12" t="n">
        <x:v>46284</x:v>
      </x:c>
      <x:c r="B11" s="2" t="str">
        <x:v>六</x:v>
      </x:c>
      <x:c r="C11" s="2" t="str">
        <x:v>Meryl</x:v>
      </x:c>
      <x:c r="D11" s="2" t="str">
        <x:v>店長</x:v>
      </x:c>
      <x:c r="E11" s="2" t="str">
        <x:v>預排</x:v>
      </x:c>
      <x:c r="F11" s="2" t="str">
        <x:v>整天10</x:v>
      </x:c>
      <x:c r="G11" s="15" t="n">
        <x:v>0.4166666666666667</x:v>
      </x:c>
      <x:c r="H11" s="15" t="n">
        <x:v>0.8333333333333334</x:v>
      </x:c>
      <x:c r="I11" s="15" t="n">
        <x:v>0.5833333333333334</x:v>
      </x:c>
      <x:c r="J11" s="15" t="n">
        <x:v>0.6666666666666666</x:v>
      </x:c>
      <x:c r="K11" s="14" t="n">
        <x:f>IF(COUNT(I11:J11)=2,(J11-I11)*'規則與技能'!$B$11,0)</x:f>
        <x:v>1.9999999999999982</x:v>
      </x:c>
      <x:c r="L11" s="14" t="n">
        <x:f>IF(COUNT(G11:H11)=2,(H11-G11)*'規則與技能'!$B$11-K11,0)</x:f>
        <x:v>8.000000000000002</x:v>
      </x:c>
      <x:c r="M11" s="14" t="n">
        <x:f>IF(L11=0,0,IF(K11&gt;0,MAX((I11-G11)*'規則與技能'!$B$11,(H11-J11)*'規則與技能'!$B$11),L11))</x:f>
        <x:v>4.000000000000002</x:v>
      </x:c>
      <x:c r="N11" s="2" t="n">
        <x:v>1</x:v>
      </x:c>
      <x:c r="O11" s="2" t="str">
        <x:v>外場；控場</x:v>
      </x:c>
      <x:c r="P11" s="11" t="str">
        <x:v>未提供核定月班，本列為可調整草案</x:v>
      </x:c>
    </x:row>
    <x:row r="12" ht="34" customHeight="1">
      <x:c r="A12" s="12" t="n">
        <x:v>46285</x:v>
      </x:c>
      <x:c r="B12" s="2" t="str">
        <x:v>日</x:v>
      </x:c>
      <x:c r="C12" s="2" t="str">
        <x:v>Meryl</x:v>
      </x:c>
      <x:c r="D12" s="2" t="str">
        <x:v>店長</x:v>
      </x:c>
      <x:c r="E12" s="2" t="str">
        <x:v>未排（可排）</x:v>
      </x:c>
      <x:c r="F12" s="2" t="str">
        <x:v>—</x:v>
      </x:c>
      <x:c r="G12" s="15"/>
      <x:c r="H12" s="15"/>
      <x:c r="I12" s="15"/>
      <x:c r="J12" s="15"/>
      <x:c r="K12" s="14" t="n">
        <x:f>IF(COUNT(I12:J12)=2,(J12-I12)*'規則與技能'!$B$11,0)</x:f>
        <x:v>0</x:v>
      </x:c>
      <x:c r="L12" s="14" t="n">
        <x:f>IF(COUNT(G12:H12)=2,(H12-G12)*'規則與技能'!$B$11-K12,0)</x:f>
        <x:v>0</x:v>
      </x:c>
      <x:c r="M12" s="14" t="n">
        <x:f>IF(L12=0,0,IF(K12&gt;0,MAX((I12-G12)*'規則與技能'!$B$11,(H12-J12)*'規則與技能'!$B$11),L12))</x:f>
        <x:v>0</x:v>
      </x:c>
      <x:c r="N12" s="2" t="n">
        <x:v>0</x:v>
      </x:c>
      <x:c r="O12" s="2" t="str">
        <x:v>—</x:v>
      </x:c>
      <x:c r="P12" s="11" t="str">
        <x:v>未提供核定月班，本列為可調整草案</x:v>
      </x:c>
    </x:row>
    <x:row r="13" ht="34" customHeight="1">
      <x:c r="A13" s="12" t="n">
        <x:v>46279</x:v>
      </x:c>
      <x:c r="B13" s="2" t="str">
        <x:v>一</x:v>
      </x:c>
      <x:c r="C13" s="2" t="str">
        <x:v>Tom</x:v>
      </x:c>
      <x:c r="D13" s="2" t="str">
        <x:v>正職</x:v>
      </x:c>
      <x:c r="E13" s="2" t="str">
        <x:v>預排</x:v>
      </x:c>
      <x:c r="F13" s="2" t="str">
        <x:v>整天11</x:v>
      </x:c>
      <x:c r="G13" s="15" t="n">
        <x:v>0.4583333333333333</x:v>
      </x:c>
      <x:c r="H13" s="15" t="n">
        <x:v>0.875</x:v>
      </x:c>
      <x:c r="I13" s="15" t="n">
        <x:v>0.625</x:v>
      </x:c>
      <x:c r="J13" s="15" t="n">
        <x:v>0.7083333333333334</x:v>
      </x:c>
      <x:c r="K13" s="14" t="n">
        <x:f>IF(COUNT(I13:J13)=2,(J13-I13)*'規則與技能'!$B$11,0)</x:f>
        <x:v>2.000000000000001</x:v>
      </x:c>
      <x:c r="L13" s="14" t="n">
        <x:f>IF(COUNT(G13:H13)=2,(H13-G13)*'規則與技能'!$B$11-K13,0)</x:f>
        <x:v>7.999999999999999</x:v>
      </x:c>
      <x:c r="M13" s="14" t="n">
        <x:f>IF(L13=0,0,IF(K13&gt;0,MAX((I13-G13)*'規則與技能'!$B$11,(H13-J13)*'規則與技能'!$B$11),L13))</x:f>
        <x:v>4</x:v>
      </x:c>
      <x:c r="N13" s="2" t="n">
        <x:v>1</x:v>
      </x:c>
      <x:c r="O13" s="2" t="str">
        <x:v>外場</x:v>
      </x:c>
      <x:c r="P13" s="11" t="str">
        <x:v>未提供核定月班，本列為可調整草案</x:v>
      </x:c>
    </x:row>
    <x:row r="14" ht="34" customHeight="1">
      <x:c r="A14" s="12" t="n">
        <x:v>46280</x:v>
      </x:c>
      <x:c r="B14" s="2" t="str">
        <x:v>二</x:v>
      </x:c>
      <x:c r="C14" s="2" t="str">
        <x:v>Tom</x:v>
      </x:c>
      <x:c r="D14" s="2" t="str">
        <x:v>正職</x:v>
      </x:c>
      <x:c r="E14" s="2" t="str">
        <x:v>預排</x:v>
      </x:c>
      <x:c r="F14" s="2" t="str">
        <x:v>整天11</x:v>
      </x:c>
      <x:c r="G14" s="15" t="n">
        <x:v>0.4583333333333333</x:v>
      </x:c>
      <x:c r="H14" s="15" t="n">
        <x:v>0.875</x:v>
      </x:c>
      <x:c r="I14" s="15" t="n">
        <x:v>0.625</x:v>
      </x:c>
      <x:c r="J14" s="15" t="n">
        <x:v>0.7083333333333334</x:v>
      </x:c>
      <x:c r="K14" s="14" t="n">
        <x:f>IF(COUNT(I14:J14)=2,(J14-I14)*'規則與技能'!$B$11,0)</x:f>
        <x:v>2.000000000000001</x:v>
      </x:c>
      <x:c r="L14" s="14" t="n">
        <x:f>IF(COUNT(G14:H14)=2,(H14-G14)*'規則與技能'!$B$11-K14,0)</x:f>
        <x:v>7.999999999999999</x:v>
      </x:c>
      <x:c r="M14" s="14" t="n">
        <x:f>IF(L14=0,0,IF(K14&gt;0,MAX((I14-G14)*'規則與技能'!$B$11,(H14-J14)*'規則與技能'!$B$11),L14))</x:f>
        <x:v>4</x:v>
      </x:c>
      <x:c r="N14" s="2" t="n">
        <x:v>1</x:v>
      </x:c>
      <x:c r="O14" s="2" t="str">
        <x:v>司爐</x:v>
      </x:c>
      <x:c r="P14" s="11" t="str">
        <x:v>未提供核定月班，本列為可調整草案</x:v>
      </x:c>
    </x:row>
    <x:row r="15" ht="34" customHeight="1">
      <x:c r="A15" s="12" t="n">
        <x:v>46281</x:v>
      </x:c>
      <x:c r="B15" s="2" t="str">
        <x:v>三</x:v>
      </x:c>
      <x:c r="C15" s="2" t="str">
        <x:v>Tom</x:v>
      </x:c>
      <x:c r="D15" s="2" t="str">
        <x:v>正職</x:v>
      </x:c>
      <x:c r="E15" s="2" t="str">
        <x:v>預排</x:v>
      </x:c>
      <x:c r="F15" s="2" t="str">
        <x:v>整天11:30</x:v>
      </x:c>
      <x:c r="G15" s="15" t="n">
        <x:v>0.4791666666666667</x:v>
      </x:c>
      <x:c r="H15" s="15" t="n">
        <x:v>0.8958333333333334</x:v>
      </x:c>
      <x:c r="I15" s="15" t="n">
        <x:v>0.6458333333333334</x:v>
      </x:c>
      <x:c r="J15" s="15" t="n">
        <x:v>0.7291666666666666</x:v>
      </x:c>
      <x:c r="K15" s="14" t="n">
        <x:f>IF(COUNT(I15:J15)=2,(J15-I15)*'規則與技能'!$B$11,0)</x:f>
        <x:v>1.9999999999999982</x:v>
      </x:c>
      <x:c r="L15" s="14" t="n">
        <x:f>IF(COUNT(G15:H15)=2,(H15-G15)*'規則與技能'!$B$11-K15,0)</x:f>
        <x:v>8.000000000000002</x:v>
      </x:c>
      <x:c r="M15" s="14" t="n">
        <x:f>IF(L15=0,0,IF(K15&gt;0,MAX((I15-G15)*'規則與技能'!$B$11,(H15-J15)*'規則與技能'!$B$11),L15))</x:f>
        <x:v>4.000000000000002</x:v>
      </x:c>
      <x:c r="N15" s="2" t="n">
        <x:v>1</x:v>
      </x:c>
      <x:c r="O15" s="2" t="str">
        <x:v>吧台</x:v>
      </x:c>
      <x:c r="P15" s="11" t="str">
        <x:v>未提供核定月班，本列為可調整草案</x:v>
      </x:c>
    </x:row>
    <x:row r="16" ht="34" customHeight="1">
      <x:c r="A16" s="12" t="n">
        <x:v>46282</x:v>
      </x:c>
      <x:c r="B16" s="2" t="str">
        <x:v>四</x:v>
      </x:c>
      <x:c r="C16" s="2" t="str">
        <x:v>Tom</x:v>
      </x:c>
      <x:c r="D16" s="2" t="str">
        <x:v>正職</x:v>
      </x:c>
      <x:c r="E16" s="2" t="str">
        <x:v>未排（可排）</x:v>
      </x:c>
      <x:c r="F16" s="2" t="str">
        <x:v>—</x:v>
      </x:c>
      <x:c r="G16" s="15"/>
      <x:c r="H16" s="15"/>
      <x:c r="I16" s="15"/>
      <x:c r="J16" s="15"/>
      <x:c r="K16" s="14" t="n">
        <x:f>IF(COUNT(I16:J16)=2,(J16-I16)*'規則與技能'!$B$11,0)</x:f>
        <x:v>0</x:v>
      </x:c>
      <x:c r="L16" s="14" t="n">
        <x:f>IF(COUNT(G16:H16)=2,(H16-G16)*'規則與技能'!$B$11-K16,0)</x:f>
        <x:v>0</x:v>
      </x:c>
      <x:c r="M16" s="14" t="n">
        <x:f>IF(L16=0,0,IF(K16&gt;0,MAX((I16-G16)*'規則與技能'!$B$11,(H16-J16)*'規則與技能'!$B$11),L16))</x:f>
        <x:v>0</x:v>
      </x:c>
      <x:c r="N16" s="2" t="n">
        <x:v>0</x:v>
      </x:c>
      <x:c r="O16" s="2" t="str">
        <x:v>—</x:v>
      </x:c>
      <x:c r="P16" s="11" t="str">
        <x:v>未提供核定月班，本列為可調整草案</x:v>
      </x:c>
    </x:row>
    <x:row r="17" ht="34" customHeight="1">
      <x:c r="A17" s="12" t="n">
        <x:v>46283</x:v>
      </x:c>
      <x:c r="B17" s="2" t="str">
        <x:v>五</x:v>
      </x:c>
      <x:c r="C17" s="2" t="str">
        <x:v>Tom</x:v>
      </x:c>
      <x:c r="D17" s="2" t="str">
        <x:v>正職</x:v>
      </x:c>
      <x:c r="E17" s="2" t="str">
        <x:v>不可排／指定休</x:v>
      </x:c>
      <x:c r="F17" s="2" t="str">
        <x:v>—</x:v>
      </x:c>
      <x:c r="G17" s="15"/>
      <x:c r="H17" s="15"/>
      <x:c r="I17" s="15"/>
      <x:c r="J17" s="15"/>
      <x:c r="K17" s="14" t="n">
        <x:f>IF(COUNT(I17:J17)=2,(J17-I17)*'規則與技能'!$B$11,0)</x:f>
        <x:v>0</x:v>
      </x:c>
      <x:c r="L17" s="14" t="n">
        <x:f>IF(COUNT(G17:H17)=2,(H17-G17)*'規則與技能'!$B$11-K17,0)</x:f>
        <x:v>0</x:v>
      </x:c>
      <x:c r="M17" s="14" t="n">
        <x:f>IF(L17=0,0,IF(K17&gt;0,MAX((I17-G17)*'規則與技能'!$B$11,(H17-J17)*'規則與技能'!$B$11),L17))</x:f>
        <x:v>0</x:v>
      </x:c>
      <x:c r="N17" s="2" t="n">
        <x:v>0</x:v>
      </x:c>
      <x:c r="O17" s="2" t="str">
        <x:v>—</x:v>
      </x:c>
      <x:c r="P17" s="11" t="str">
        <x:v>未提供核定月班，本列為可調整草案</x:v>
      </x:c>
    </x:row>
    <x:row r="18" ht="34" customHeight="1">
      <x:c r="A18" s="12" t="n">
        <x:v>46284</x:v>
      </x:c>
      <x:c r="B18" s="2" t="str">
        <x:v>六</x:v>
      </x:c>
      <x:c r="C18" s="2" t="str">
        <x:v>Tom</x:v>
      </x:c>
      <x:c r="D18" s="2" t="str">
        <x:v>正職</x:v>
      </x:c>
      <x:c r="E18" s="2" t="str">
        <x:v>預排</x:v>
      </x:c>
      <x:c r="F18" s="2" t="str">
        <x:v>整天11</x:v>
      </x:c>
      <x:c r="G18" s="15" t="n">
        <x:v>0.4583333333333333</x:v>
      </x:c>
      <x:c r="H18" s="15" t="n">
        <x:v>0.875</x:v>
      </x:c>
      <x:c r="I18" s="15" t="n">
        <x:v>0.625</x:v>
      </x:c>
      <x:c r="J18" s="15" t="n">
        <x:v>0.7083333333333334</x:v>
      </x:c>
      <x:c r="K18" s="14" t="n">
        <x:f>IF(COUNT(I18:J18)=2,(J18-I18)*'規則與技能'!$B$11,0)</x:f>
        <x:v>2.000000000000001</x:v>
      </x:c>
      <x:c r="L18" s="14" t="n">
        <x:f>IF(COUNT(G18:H18)=2,(H18-G18)*'規則與技能'!$B$11-K18,0)</x:f>
        <x:v>7.999999999999999</x:v>
      </x:c>
      <x:c r="M18" s="14" t="n">
        <x:f>IF(L18=0,0,IF(K18&gt;0,MAX((I18-G18)*'規則與技能'!$B$11,(H18-J18)*'規則與技能'!$B$11),L18))</x:f>
        <x:v>4</x:v>
      </x:c>
      <x:c r="N18" s="2" t="n">
        <x:v>1</x:v>
      </x:c>
      <x:c r="O18" s="2" t="str">
        <x:v>吧台</x:v>
      </x:c>
      <x:c r="P18" s="11" t="str">
        <x:v>未提供核定月班，本列為可調整草案</x:v>
      </x:c>
    </x:row>
    <x:row r="19" ht="34" customHeight="1">
      <x:c r="A19" s="12" t="n">
        <x:v>46285</x:v>
      </x:c>
      <x:c r="B19" s="2" t="str">
        <x:v>日</x:v>
      </x:c>
      <x:c r="C19" s="2" t="str">
        <x:v>Tom</x:v>
      </x:c>
      <x:c r="D19" s="2" t="str">
        <x:v>正職</x:v>
      </x:c>
      <x:c r="E19" s="2" t="str">
        <x:v>預排</x:v>
      </x:c>
      <x:c r="F19" s="2" t="str">
        <x:v>整天11</x:v>
      </x:c>
      <x:c r="G19" s="15" t="n">
        <x:v>0.4583333333333333</x:v>
      </x:c>
      <x:c r="H19" s="15" t="n">
        <x:v>0.875</x:v>
      </x:c>
      <x:c r="I19" s="15" t="n">
        <x:v>0.625</x:v>
      </x:c>
      <x:c r="J19" s="15" t="n">
        <x:v>0.7083333333333334</x:v>
      </x:c>
      <x:c r="K19" s="14" t="n">
        <x:f>IF(COUNT(I19:J19)=2,(J19-I19)*'規則與技能'!$B$11,0)</x:f>
        <x:v>2.000000000000001</x:v>
      </x:c>
      <x:c r="L19" s="14" t="n">
        <x:f>IF(COUNT(G19:H19)=2,(H19-G19)*'規則與技能'!$B$11-K19,0)</x:f>
        <x:v>7.999999999999999</x:v>
      </x:c>
      <x:c r="M19" s="14" t="n">
        <x:f>IF(L19=0,0,IF(K19&gt;0,MAX((I19-G19)*'規則與技能'!$B$11,(H19-J19)*'規則與技能'!$B$11),L19))</x:f>
        <x:v>4</x:v>
      </x:c>
      <x:c r="N19" s="2" t="n">
        <x:v>1</x:v>
      </x:c>
      <x:c r="O19" s="2" t="str">
        <x:v>控場</x:v>
      </x:c>
      <x:c r="P19" s="11" t="str">
        <x:v>未提供核定月班，本列為可調整草案</x:v>
      </x:c>
    </x:row>
    <x:row r="20" ht="34" customHeight="1">
      <x:c r="A20" s="12" t="n">
        <x:v>46279</x:v>
      </x:c>
      <x:c r="B20" s="2" t="str">
        <x:v>一</x:v>
      </x:c>
      <x:c r="C20" s="2" t="str">
        <x:v>Emma</x:v>
      </x:c>
      <x:c r="D20" s="2" t="str">
        <x:v>正職</x:v>
      </x:c>
      <x:c r="E20" s="2" t="str">
        <x:v>不可排／指定休</x:v>
      </x:c>
      <x:c r="F20" s="2" t="str">
        <x:v>—</x:v>
      </x:c>
      <x:c r="G20" s="15"/>
      <x:c r="H20" s="15"/>
      <x:c r="I20" s="15"/>
      <x:c r="J20" s="15"/>
      <x:c r="K20" s="14" t="n">
        <x:f>IF(COUNT(I20:J20)=2,(J20-I20)*'規則與技能'!$B$11,0)</x:f>
        <x:v>0</x:v>
      </x:c>
      <x:c r="L20" s="14" t="n">
        <x:f>IF(COUNT(G20:H20)=2,(H20-G20)*'規則與技能'!$B$11-K20,0)</x:f>
        <x:v>0</x:v>
      </x:c>
      <x:c r="M20" s="14" t="n">
        <x:f>IF(L20=0,0,IF(K20&gt;0,MAX((I20-G20)*'規則與技能'!$B$11,(H20-J20)*'規則與技能'!$B$11),L20))</x:f>
        <x:v>0</x:v>
      </x:c>
      <x:c r="N20" s="2" t="n">
        <x:v>0</x:v>
      </x:c>
      <x:c r="O20" s="2" t="str">
        <x:v>—</x:v>
      </x:c>
      <x:c r="P20" s="11" t="str">
        <x:v>未提供核定月班，本列為可調整草案</x:v>
      </x:c>
    </x:row>
    <x:row r="21" ht="34" customHeight="1">
      <x:c r="A21" s="12" t="n">
        <x:v>46280</x:v>
      </x:c>
      <x:c r="B21" s="2" t="str">
        <x:v>二</x:v>
      </x:c>
      <x:c r="C21" s="2" t="str">
        <x:v>Emma</x:v>
      </x:c>
      <x:c r="D21" s="2" t="str">
        <x:v>正職</x:v>
      </x:c>
      <x:c r="E21" s="2" t="str">
        <x:v>預排</x:v>
      </x:c>
      <x:c r="F21" s="2" t="str">
        <x:v>整天11:30</x:v>
      </x:c>
      <x:c r="G21" s="15" t="n">
        <x:v>0.4791666666666667</x:v>
      </x:c>
      <x:c r="H21" s="15" t="n">
        <x:v>0.8958333333333334</x:v>
      </x:c>
      <x:c r="I21" s="15" t="n">
        <x:v>0.6041666666666666</x:v>
      </x:c>
      <x:c r="J21" s="15" t="n">
        <x:v>0.6875</x:v>
      </x:c>
      <x:c r="K21" s="14" t="n">
        <x:f>IF(COUNT(I21:J21)=2,(J21-I21)*'規則與技能'!$B$11,0)</x:f>
        <x:v>2.000000000000001</x:v>
      </x:c>
      <x:c r="L21" s="14" t="n">
        <x:f>IF(COUNT(G21:H21)=2,(H21-G21)*'規則與技能'!$B$11-K21,0)</x:f>
        <x:v>7.999999999999999</x:v>
      </x:c>
      <x:c r="M21" s="14" t="n">
        <x:f>IF(L21=0,0,IF(K21&gt;0,MAX((I21-G21)*'規則與技能'!$B$11,(H21-J21)*'規則與技能'!$B$11),L21))</x:f>
        <x:v>5.000000000000001</x:v>
      </x:c>
      <x:c r="N21" s="2" t="n">
        <x:v>1</x:v>
      </x:c>
      <x:c r="O21" s="2" t="str">
        <x:v>吧台</x:v>
      </x:c>
      <x:c r="P21" s="11" t="str">
        <x:v>未提供核定月班，本列為可調整草案</x:v>
      </x:c>
    </x:row>
    <x:row r="22" ht="34" customHeight="1">
      <x:c r="A22" s="12" t="n">
        <x:v>46281</x:v>
      </x:c>
      <x:c r="B22" s="2" t="str">
        <x:v>三</x:v>
      </x:c>
      <x:c r="C22" s="2" t="str">
        <x:v>Emma</x:v>
      </x:c>
      <x:c r="D22" s="2" t="str">
        <x:v>正職</x:v>
      </x:c>
      <x:c r="E22" s="2" t="str">
        <x:v>預排</x:v>
      </x:c>
      <x:c r="F22" s="2" t="str">
        <x:v>整天11</x:v>
      </x:c>
      <x:c r="G22" s="15" t="n">
        <x:v>0.4583333333333333</x:v>
      </x:c>
      <x:c r="H22" s="15" t="n">
        <x:v>0.875</x:v>
      </x:c>
      <x:c r="I22" s="15" t="n">
        <x:v>0.625</x:v>
      </x:c>
      <x:c r="J22" s="15" t="n">
        <x:v>0.7083333333333334</x:v>
      </x:c>
      <x:c r="K22" s="14" t="n">
        <x:f>IF(COUNT(I22:J22)=2,(J22-I22)*'規則與技能'!$B$11,0)</x:f>
        <x:v>2.000000000000001</x:v>
      </x:c>
      <x:c r="L22" s="14" t="n">
        <x:f>IF(COUNT(G22:H22)=2,(H22-G22)*'規則與技能'!$B$11-K22,0)</x:f>
        <x:v>7.999999999999999</x:v>
      </x:c>
      <x:c r="M22" s="14" t="n">
        <x:f>IF(L22=0,0,IF(K22&gt;0,MAX((I22-G22)*'規則與技能'!$B$11,(H22-J22)*'規則與技能'!$B$11),L22))</x:f>
        <x:v>4</x:v>
      </x:c>
      <x:c r="N22" s="2" t="n">
        <x:v>1</x:v>
      </x:c>
      <x:c r="O22" s="2" t="str">
        <x:v>外場</x:v>
      </x:c>
      <x:c r="P22" s="11" t="str">
        <x:v>未提供核定月班，本列為可調整草案</x:v>
      </x:c>
    </x:row>
    <x:row r="23" ht="34" customHeight="1">
      <x:c r="A23" s="12" t="n">
        <x:v>46282</x:v>
      </x:c>
      <x:c r="B23" s="2" t="str">
        <x:v>四</x:v>
      </x:c>
      <x:c r="C23" s="2" t="str">
        <x:v>Emma</x:v>
      </x:c>
      <x:c r="D23" s="2" t="str">
        <x:v>正職</x:v>
      </x:c>
      <x:c r="E23" s="2" t="str">
        <x:v>預排</x:v>
      </x:c>
      <x:c r="F23" s="2" t="str">
        <x:v>整天11</x:v>
      </x:c>
      <x:c r="G23" s="15" t="n">
        <x:v>0.4583333333333333</x:v>
      </x:c>
      <x:c r="H23" s="15" t="n">
        <x:v>0.875</x:v>
      </x:c>
      <x:c r="I23" s="15" t="n">
        <x:v>0.625</x:v>
      </x:c>
      <x:c r="J23" s="15" t="n">
        <x:v>0.7083333333333334</x:v>
      </x:c>
      <x:c r="K23" s="14" t="n">
        <x:f>IF(COUNT(I23:J23)=2,(J23-I23)*'規則與技能'!$B$11,0)</x:f>
        <x:v>2.000000000000001</x:v>
      </x:c>
      <x:c r="L23" s="14" t="n">
        <x:f>IF(COUNT(G23:H23)=2,(H23-G23)*'規則與技能'!$B$11-K23,0)</x:f>
        <x:v>7.999999999999999</x:v>
      </x:c>
      <x:c r="M23" s="14" t="n">
        <x:f>IF(L23=0,0,IF(K23&gt;0,MAX((I23-G23)*'規則與技能'!$B$11,(H23-J23)*'規則與技能'!$B$11),L23))</x:f>
        <x:v>4</x:v>
      </x:c>
      <x:c r="N23" s="2" t="n">
        <x:v>1</x:v>
      </x:c>
      <x:c r="O23" s="2" t="str">
        <x:v>外場</x:v>
      </x:c>
      <x:c r="P23" s="11" t="str">
        <x:v>未提供核定月班，本列為可調整草案</x:v>
      </x:c>
    </x:row>
    <x:row r="24" ht="34" customHeight="1">
      <x:c r="A24" s="12" t="n">
        <x:v>46283</x:v>
      </x:c>
      <x:c r="B24" s="2" t="str">
        <x:v>五</x:v>
      </x:c>
      <x:c r="C24" s="2" t="str">
        <x:v>Emma</x:v>
      </x:c>
      <x:c r="D24" s="2" t="str">
        <x:v>正職</x:v>
      </x:c>
      <x:c r="E24" s="2" t="str">
        <x:v>預排</x:v>
      </x:c>
      <x:c r="F24" s="2" t="str">
        <x:v>整天11</x:v>
      </x:c>
      <x:c r="G24" s="15" t="n">
        <x:v>0.4583333333333333</x:v>
      </x:c>
      <x:c r="H24" s="15" t="n">
        <x:v>0.875</x:v>
      </x:c>
      <x:c r="I24" s="15" t="n">
        <x:v>0.625</x:v>
      </x:c>
      <x:c r="J24" s="15" t="n">
        <x:v>0.7083333333333334</x:v>
      </x:c>
      <x:c r="K24" s="14" t="n">
        <x:f>IF(COUNT(I24:J24)=2,(J24-I24)*'規則與技能'!$B$11,0)</x:f>
        <x:v>2.000000000000001</x:v>
      </x:c>
      <x:c r="L24" s="14" t="n">
        <x:f>IF(COUNT(G24:H24)=2,(H24-G24)*'規則與技能'!$B$11-K24,0)</x:f>
        <x:v>7.999999999999999</x:v>
      </x:c>
      <x:c r="M24" s="14" t="n">
        <x:f>IF(L24=0,0,IF(K24&gt;0,MAX((I24-G24)*'規則與技能'!$B$11,(H24-J24)*'規則與技能'!$B$11),L24))</x:f>
        <x:v>4</x:v>
      </x:c>
      <x:c r="N24" s="2" t="n">
        <x:v>1</x:v>
      </x:c>
      <x:c r="O24" s="2" t="str">
        <x:v>外場</x:v>
      </x:c>
      <x:c r="P24" s="11" t="str">
        <x:v>未提供核定月班，本列為可調整草案</x:v>
      </x:c>
    </x:row>
    <x:row r="25" ht="34" customHeight="1">
      <x:c r="A25" s="12" t="n">
        <x:v>46284</x:v>
      </x:c>
      <x:c r="B25" s="2" t="str">
        <x:v>六</x:v>
      </x:c>
      <x:c r="C25" s="2" t="str">
        <x:v>Emma</x:v>
      </x:c>
      <x:c r="D25" s="2" t="str">
        <x:v>正職</x:v>
      </x:c>
      <x:c r="E25" s="2" t="str">
        <x:v>未排（可排）</x:v>
      </x:c>
      <x:c r="F25" s="2" t="str">
        <x:v>—</x:v>
      </x:c>
      <x:c r="G25" s="15"/>
      <x:c r="H25" s="15"/>
      <x:c r="I25" s="15"/>
      <x:c r="J25" s="15"/>
      <x:c r="K25" s="14" t="n">
        <x:f>IF(COUNT(I25:J25)=2,(J25-I25)*'規則與技能'!$B$11,0)</x:f>
        <x:v>0</x:v>
      </x:c>
      <x:c r="L25" s="14" t="n">
        <x:f>IF(COUNT(G25:H25)=2,(H25-G25)*'規則與技能'!$B$11-K25,0)</x:f>
        <x:v>0</x:v>
      </x:c>
      <x:c r="M25" s="14" t="n">
        <x:f>IF(L25=0,0,IF(K25&gt;0,MAX((I25-G25)*'規則與技能'!$B$11,(H25-J25)*'規則與技能'!$B$11),L25))</x:f>
        <x:v>0</x:v>
      </x:c>
      <x:c r="N25" s="2" t="n">
        <x:v>0</x:v>
      </x:c>
      <x:c r="O25" s="2" t="str">
        <x:v>—</x:v>
      </x:c>
      <x:c r="P25" s="11" t="str">
        <x:v>未提供核定月班，本列為可調整草案</x:v>
      </x:c>
    </x:row>
    <x:row r="26" ht="34" customHeight="1">
      <x:c r="A26" s="12" t="n">
        <x:v>46285</x:v>
      </x:c>
      <x:c r="B26" s="2" t="str">
        <x:v>日</x:v>
      </x:c>
      <x:c r="C26" s="2" t="str">
        <x:v>Emma</x:v>
      </x:c>
      <x:c r="D26" s="2" t="str">
        <x:v>正職</x:v>
      </x:c>
      <x:c r="E26" s="2" t="str">
        <x:v>預排</x:v>
      </x:c>
      <x:c r="F26" s="2" t="str">
        <x:v>整天11:30</x:v>
      </x:c>
      <x:c r="G26" s="15" t="n">
        <x:v>0.4791666666666667</x:v>
      </x:c>
      <x:c r="H26" s="15" t="n">
        <x:v>0.8958333333333334</x:v>
      </x:c>
      <x:c r="I26" s="15" t="n">
        <x:v>0.6458333333333334</x:v>
      </x:c>
      <x:c r="J26" s="15" t="n">
        <x:v>0.7291666666666666</x:v>
      </x:c>
      <x:c r="K26" s="14" t="n">
        <x:f>IF(COUNT(I26:J26)=2,(J26-I26)*'規則與技能'!$B$11,0)</x:f>
        <x:v>1.9999999999999982</x:v>
      </x:c>
      <x:c r="L26" s="14" t="n">
        <x:f>IF(COUNT(G26:H26)=2,(H26-G26)*'規則與技能'!$B$11-K26,0)</x:f>
        <x:v>8.000000000000002</x:v>
      </x:c>
      <x:c r="M26" s="14" t="n">
        <x:f>IF(L26=0,0,IF(K26&gt;0,MAX((I26-G26)*'規則與技能'!$B$11,(H26-J26)*'規則與技能'!$B$11),L26))</x:f>
        <x:v>4.000000000000002</x:v>
      </x:c>
      <x:c r="N26" s="2" t="n">
        <x:v>1</x:v>
      </x:c>
      <x:c r="O26" s="2" t="str">
        <x:v>外場</x:v>
      </x:c>
      <x:c r="P26" s="11" t="str">
        <x:v>未提供核定月班，本列為可調整草案</x:v>
      </x:c>
    </x:row>
    <x:row r="27" ht="34" customHeight="1">
      <x:c r="A27" s="12" t="n">
        <x:v>46279</x:v>
      </x:c>
      <x:c r="B27" s="2" t="str">
        <x:v>一</x:v>
      </x:c>
      <x:c r="C27" s="2" t="str">
        <x:v>Brad</x:v>
      </x:c>
      <x:c r="D27" s="2" t="str">
        <x:v>工讀</x:v>
      </x:c>
      <x:c r="E27" s="2" t="str">
        <x:v>預排</x:v>
      </x:c>
      <x:c r="F27" s="2" t="str">
        <x:v>晚班18</x:v>
      </x:c>
      <x:c r="G27" s="15" t="n">
        <x:v>0.75</x:v>
      </x:c>
      <x:c r="H27" s="15" t="n">
        <x:v>0.8958333333333334</x:v>
      </x:c>
      <x:c r="I27" s="15"/>
      <x:c r="J27" s="15"/>
      <x:c r="K27" s="14" t="n">
        <x:f>IF(COUNT(I27:J27)=2,(J27-I27)*'規則與技能'!$B$11,0)</x:f>
        <x:v>0</x:v>
      </x:c>
      <x:c r="L27" s="14" t="n">
        <x:f>IF(COUNT(G27:H27)=2,(H27-G27)*'規則與技能'!$B$11-K27,0)</x:f>
        <x:v>3.500000000000001</x:v>
      </x:c>
      <x:c r="M27" s="14" t="n">
        <x:f>IF(L27=0,0,IF(K27&gt;0,MAX((I27-G27)*'規則與技能'!$B$11,(H27-J27)*'規則與技能'!$B$11),L27))</x:f>
        <x:v>3.500000000000001</x:v>
      </x:c>
      <x:c r="N27" s="2" t="n">
        <x:v>0</x:v>
      </x:c>
      <x:c r="O27" s="2" t="str">
        <x:v>司爐</x:v>
      </x:c>
      <x:c r="P27" s="11" t="str"/>
    </x:row>
    <x:row r="28" ht="34" customHeight="1">
      <x:c r="A28" s="12" t="n">
        <x:v>46280</x:v>
      </x:c>
      <x:c r="B28" s="2" t="str">
        <x:v>二</x:v>
      </x:c>
      <x:c r="C28" s="2" t="str">
        <x:v>Brad</x:v>
      </x:c>
      <x:c r="D28" s="2" t="str">
        <x:v>工讀</x:v>
      </x:c>
      <x:c r="E28" s="2" t="str">
        <x:v>預排</x:v>
      </x:c>
      <x:c r="F28" s="2" t="str">
        <x:v>晚班18</x:v>
      </x:c>
      <x:c r="G28" s="15" t="n">
        <x:v>0.75</x:v>
      </x:c>
      <x:c r="H28" s="15" t="n">
        <x:v>0.8958333333333334</x:v>
      </x:c>
      <x:c r="I28" s="15"/>
      <x:c r="J28" s="15"/>
      <x:c r="K28" s="14" t="n">
        <x:f>IF(COUNT(I28:J28)=2,(J28-I28)*'規則與技能'!$B$11,0)</x:f>
        <x:v>0</x:v>
      </x:c>
      <x:c r="L28" s="14" t="n">
        <x:f>IF(COUNT(G28:H28)=2,(H28-G28)*'規則與技能'!$B$11-K28,0)</x:f>
        <x:v>3.500000000000001</x:v>
      </x:c>
      <x:c r="M28" s="14" t="n">
        <x:f>IF(L28=0,0,IF(K28&gt;0,MAX((I28-G28)*'規則與技能'!$B$11,(H28-J28)*'規則與技能'!$B$11),L28))</x:f>
        <x:v>3.500000000000001</x:v>
      </x:c>
      <x:c r="N28" s="2" t="n">
        <x:v>0</x:v>
      </x:c>
      <x:c r="O28" s="2" t="str">
        <x:v>炸區</x:v>
      </x:c>
      <x:c r="P28" s="11" t="str"/>
    </x:row>
    <x:row r="29" ht="34" customHeight="1">
      <x:c r="A29" s="12" t="n">
        <x:v>46281</x:v>
      </x:c>
      <x:c r="B29" s="2" t="str">
        <x:v>三</x:v>
      </x:c>
      <x:c r="C29" s="2" t="str">
        <x:v>Brad</x:v>
      </x:c>
      <x:c r="D29" s="2" t="str">
        <x:v>工讀</x:v>
      </x:c>
      <x:c r="E29" s="2" t="str">
        <x:v>未排（可排）</x:v>
      </x:c>
      <x:c r="F29" s="2" t="str">
        <x:v>—</x:v>
      </x:c>
      <x:c r="G29" s="15"/>
      <x:c r="H29" s="15"/>
      <x:c r="I29" s="15"/>
      <x:c r="J29" s="15"/>
      <x:c r="K29" s="14" t="n">
        <x:f>IF(COUNT(I29:J29)=2,(J29-I29)*'規則與技能'!$B$11,0)</x:f>
        <x:v>0</x:v>
      </x:c>
      <x:c r="L29" s="14" t="n">
        <x:f>IF(COUNT(G29:H29)=2,(H29-G29)*'規則與技能'!$B$11-K29,0)</x:f>
        <x:v>0</x:v>
      </x:c>
      <x:c r="M29" s="14" t="n">
        <x:f>IF(L29=0,0,IF(K29&gt;0,MAX((I29-G29)*'規則與技能'!$B$11,(H29-J29)*'規則與技能'!$B$11),L29))</x:f>
        <x:v>0</x:v>
      </x:c>
      <x:c r="N29" s="2" t="n">
        <x:v>0</x:v>
      </x:c>
      <x:c r="O29" s="2" t="str">
        <x:v>—</x:v>
      </x:c>
      <x:c r="P29" s="11" t="str">
        <x:v>本週草案未選用；不是法定假別認定</x:v>
      </x:c>
    </x:row>
    <x:row r="30" ht="34" customHeight="1">
      <x:c r="A30" s="12" t="n">
        <x:v>46282</x:v>
      </x:c>
      <x:c r="B30" s="2" t="str">
        <x:v>四</x:v>
      </x:c>
      <x:c r="C30" s="2" t="str">
        <x:v>Brad</x:v>
      </x:c>
      <x:c r="D30" s="2" t="str">
        <x:v>工讀</x:v>
      </x:c>
      <x:c r="E30" s="2" t="str">
        <x:v>預排</x:v>
      </x:c>
      <x:c r="F30" s="2" t="str">
        <x:v>中班12</x:v>
      </x:c>
      <x:c r="G30" s="15" t="n">
        <x:v>0.5</x:v>
      </x:c>
      <x:c r="H30" s="15" t="n">
        <x:v>0.75</x:v>
      </x:c>
      <x:c r="I30" s="15" t="n">
        <x:v>0.5833333333333334</x:v>
      </x:c>
      <x:c r="J30" s="15" t="n">
        <x:v>0.6041666666666666</x:v>
      </x:c>
      <x:c r="K30" s="14" t="n">
        <x:f>IF(COUNT(I30:J30)=2,(J30-I30)*'規則與技能'!$B$11,0)</x:f>
        <x:v>0.4999999999999982</x:v>
      </x:c>
      <x:c r="L30" s="14" t="n">
        <x:f>IF(COUNT(G30:H30)=2,(H30-G30)*'規則與技能'!$B$11-K30,0)</x:f>
        <x:v>5.500000000000002</x:v>
      </x:c>
      <x:c r="M30" s="14" t="n">
        <x:f>IF(L30=0,0,IF(K30&gt;0,MAX((I30-G30)*'規則與技能'!$B$11,(H30-J30)*'規則與技能'!$B$11),L30))</x:f>
        <x:v>3.500000000000001</x:v>
      </x:c>
      <x:c r="N30" s="2" t="n">
        <x:v>0</x:v>
      </x:c>
      <x:c r="O30" s="2" t="str">
        <x:v>炸區</x:v>
      </x:c>
      <x:c r="P30" s="11" t="str"/>
    </x:row>
    <x:row r="31" ht="34" customHeight="1">
      <x:c r="A31" s="12" t="n">
        <x:v>46283</x:v>
      </x:c>
      <x:c r="B31" s="2" t="str">
        <x:v>五</x:v>
      </x:c>
      <x:c r="C31" s="2" t="str">
        <x:v>Brad</x:v>
      </x:c>
      <x:c r="D31" s="2" t="str">
        <x:v>工讀</x:v>
      </x:c>
      <x:c r="E31" s="2" t="str">
        <x:v>預排</x:v>
      </x:c>
      <x:c r="F31" s="2" t="str">
        <x:v>晚班18</x:v>
      </x:c>
      <x:c r="G31" s="15" t="n">
        <x:v>0.75</x:v>
      </x:c>
      <x:c r="H31" s="15" t="n">
        <x:v>0.8958333333333334</x:v>
      </x:c>
      <x:c r="I31" s="15"/>
      <x:c r="J31" s="15"/>
      <x:c r="K31" s="14" t="n">
        <x:f>IF(COUNT(I31:J31)=2,(J31-I31)*'規則與技能'!$B$11,0)</x:f>
        <x:v>0</x:v>
      </x:c>
      <x:c r="L31" s="14" t="n">
        <x:f>IF(COUNT(G31:H31)=2,(H31-G31)*'規則與技能'!$B$11-K31,0)</x:f>
        <x:v>3.500000000000001</x:v>
      </x:c>
      <x:c r="M31" s="14" t="n">
        <x:f>IF(L31=0,0,IF(K31&gt;0,MAX((I31-G31)*'規則與技能'!$B$11,(H31-J31)*'規則與技能'!$B$11),L31))</x:f>
        <x:v>3.500000000000001</x:v>
      </x:c>
      <x:c r="N31" s="2" t="n">
        <x:v>0</x:v>
      </x:c>
      <x:c r="O31" s="2" t="str">
        <x:v>司爐</x:v>
      </x:c>
      <x:c r="P31" s="11" t="str"/>
    </x:row>
    <x:row r="32" ht="34" customHeight="1">
      <x:c r="A32" s="12" t="n">
        <x:v>46284</x:v>
      </x:c>
      <x:c r="B32" s="2" t="str">
        <x:v>六</x:v>
      </x:c>
      <x:c r="C32" s="2" t="str">
        <x:v>Brad</x:v>
      </x:c>
      <x:c r="D32" s="2" t="str">
        <x:v>工讀</x:v>
      </x:c>
      <x:c r="E32" s="2" t="str">
        <x:v>未排（可排）</x:v>
      </x:c>
      <x:c r="F32" s="2" t="str">
        <x:v>—</x:v>
      </x:c>
      <x:c r="G32" s="15"/>
      <x:c r="H32" s="15"/>
      <x:c r="I32" s="15"/>
      <x:c r="J32" s="15"/>
      <x:c r="K32" s="14" t="n">
        <x:f>IF(COUNT(I32:J32)=2,(J32-I32)*'規則與技能'!$B$11,0)</x:f>
        <x:v>0</x:v>
      </x:c>
      <x:c r="L32" s="14" t="n">
        <x:f>IF(COUNT(G32:H32)=2,(H32-G32)*'規則與技能'!$B$11-K32,0)</x:f>
        <x:v>0</x:v>
      </x:c>
      <x:c r="M32" s="14" t="n">
        <x:f>IF(L32=0,0,IF(K32&gt;0,MAX((I32-G32)*'規則與技能'!$B$11,(H32-J32)*'規則與技能'!$B$11),L32))</x:f>
        <x:v>0</x:v>
      </x:c>
      <x:c r="N32" s="2" t="n">
        <x:v>0</x:v>
      </x:c>
      <x:c r="O32" s="2" t="str">
        <x:v>—</x:v>
      </x:c>
      <x:c r="P32" s="11" t="str">
        <x:v>本週草案未選用；不是法定假別認定</x:v>
      </x:c>
    </x:row>
    <x:row r="33" ht="34" customHeight="1">
      <x:c r="A33" s="12" t="n">
        <x:v>46285</x:v>
      </x:c>
      <x:c r="B33" s="2" t="str">
        <x:v>日</x:v>
      </x:c>
      <x:c r="C33" s="2" t="str">
        <x:v>Brad</x:v>
      </x:c>
      <x:c r="D33" s="2" t="str">
        <x:v>工讀</x:v>
      </x:c>
      <x:c r="E33" s="2" t="str">
        <x:v>預排</x:v>
      </x:c>
      <x:c r="F33" s="2" t="str">
        <x:v>整天12</x:v>
      </x:c>
      <x:c r="G33" s="15" t="n">
        <x:v>0.5</x:v>
      </x:c>
      <x:c r="H33" s="15" t="n">
        <x:v>0.9166666666666666</x:v>
      </x:c>
      <x:c r="I33" s="15" t="n">
        <x:v>0.6666666666666666</x:v>
      </x:c>
      <x:c r="J33" s="15" t="n">
        <x:v>0.75</x:v>
      </x:c>
      <x:c r="K33" s="14" t="n">
        <x:f>IF(COUNT(I33:J33)=2,(J33-I33)*'規則與技能'!$B$11,0)</x:f>
        <x:v>2.000000000000001</x:v>
      </x:c>
      <x:c r="L33" s="14" t="n">
        <x:f>IF(COUNT(G33:H33)=2,(H33-G33)*'規則與技能'!$B$11-K33,0)</x:f>
        <x:v>7.999999999999999</x:v>
      </x:c>
      <x:c r="M33" s="14" t="n">
        <x:f>IF(L33=0,0,IF(K33&gt;0,MAX((I33-G33)*'規則與技能'!$B$11,(H33-J33)*'規則與技能'!$B$11),L33))</x:f>
        <x:v>3.999999999999999</x:v>
      </x:c>
      <x:c r="N33" s="2" t="n">
        <x:v>1</x:v>
      </x:c>
      <x:c r="O33" s="2" t="str">
        <x:v>司爐</x:v>
      </x:c>
      <x:c r="P33" s="11" t="str"/>
    </x:row>
    <x:row r="34" ht="34" customHeight="1">
      <x:c r="A34" s="12" t="n">
        <x:v>46279</x:v>
      </x:c>
      <x:c r="B34" s="2" t="str">
        <x:v>一</x:v>
      </x:c>
      <x:c r="C34" s="2" t="str">
        <x:v>Keanu</x:v>
      </x:c>
      <x:c r="D34" s="2" t="str">
        <x:v>工讀</x:v>
      </x:c>
      <x:c r="E34" s="2" t="str">
        <x:v>未排（非給班）</x:v>
      </x:c>
      <x:c r="F34" s="2" t="str">
        <x:v>—</x:v>
      </x:c>
      <x:c r="G34" s="15"/>
      <x:c r="H34" s="15"/>
      <x:c r="I34" s="15"/>
      <x:c r="J34" s="15"/>
      <x:c r="K34" s="14" t="n">
        <x:f>IF(COUNT(I34:J34)=2,(J34-I34)*'規則與技能'!$B$11,0)</x:f>
        <x:v>0</x:v>
      </x:c>
      <x:c r="L34" s="14" t="n">
        <x:f>IF(COUNT(G34:H34)=2,(H34-G34)*'規則與技能'!$B$11-K34,0)</x:f>
        <x:v>0</x:v>
      </x:c>
      <x:c r="M34" s="14" t="n">
        <x:f>IF(L34=0,0,IF(K34&gt;0,MAX((I34-G34)*'規則與技能'!$B$11,(H34-J34)*'規則與技能'!$B$11),L34))</x:f>
        <x:v>0</x:v>
      </x:c>
      <x:c r="N34" s="2" t="n">
        <x:v>0</x:v>
      </x:c>
      <x:c r="O34" s="2" t="str">
        <x:v>—</x:v>
      </x:c>
      <x:c r="P34" s="11" t="str">
        <x:v>未列於本週可給班時段</x:v>
      </x:c>
    </x:row>
    <x:row r="35" ht="34" customHeight="1">
      <x:c r="A35" s="12" t="n">
        <x:v>46280</x:v>
      </x:c>
      <x:c r="B35" s="2" t="str">
        <x:v>二</x:v>
      </x:c>
      <x:c r="C35" s="2" t="str">
        <x:v>Keanu</x:v>
      </x:c>
      <x:c r="D35" s="2" t="str">
        <x:v>工讀</x:v>
      </x:c>
      <x:c r="E35" s="2" t="str">
        <x:v>未排（非給班）</x:v>
      </x:c>
      <x:c r="F35" s="2" t="str">
        <x:v>—</x:v>
      </x:c>
      <x:c r="G35" s="15"/>
      <x:c r="H35" s="15"/>
      <x:c r="I35" s="15"/>
      <x:c r="J35" s="15"/>
      <x:c r="K35" s="14" t="n">
        <x:f>IF(COUNT(I35:J35)=2,(J35-I35)*'規則與技能'!$B$11,0)</x:f>
        <x:v>0</x:v>
      </x:c>
      <x:c r="L35" s="14" t="n">
        <x:f>IF(COUNT(G35:H35)=2,(H35-G35)*'規則與技能'!$B$11-K35,0)</x:f>
        <x:v>0</x:v>
      </x:c>
      <x:c r="M35" s="14" t="n">
        <x:f>IF(L35=0,0,IF(K35&gt;0,MAX((I35-G35)*'規則與技能'!$B$11,(H35-J35)*'規則與技能'!$B$11),L35))</x:f>
        <x:v>0</x:v>
      </x:c>
      <x:c r="N35" s="2" t="n">
        <x:v>0</x:v>
      </x:c>
      <x:c r="O35" s="2" t="str">
        <x:v>—</x:v>
      </x:c>
      <x:c r="P35" s="11" t="str">
        <x:v>未列於本週可給班時段</x:v>
      </x:c>
    </x:row>
    <x:row r="36" ht="34" customHeight="1">
      <x:c r="A36" s="12" t="n">
        <x:v>46281</x:v>
      </x:c>
      <x:c r="B36" s="2" t="str">
        <x:v>三</x:v>
      </x:c>
      <x:c r="C36" s="2" t="str">
        <x:v>Keanu</x:v>
      </x:c>
      <x:c r="D36" s="2" t="str">
        <x:v>工讀</x:v>
      </x:c>
      <x:c r="E36" s="2" t="str">
        <x:v>未排（可排）</x:v>
      </x:c>
      <x:c r="F36" s="2" t="str">
        <x:v>—</x:v>
      </x:c>
      <x:c r="G36" s="15"/>
      <x:c r="H36" s="15"/>
      <x:c r="I36" s="15"/>
      <x:c r="J36" s="15"/>
      <x:c r="K36" s="14" t="n">
        <x:f>IF(COUNT(I36:J36)=2,(J36-I36)*'規則與技能'!$B$11,0)</x:f>
        <x:v>0</x:v>
      </x:c>
      <x:c r="L36" s="14" t="n">
        <x:f>IF(COUNT(G36:H36)=2,(H36-G36)*'規則與技能'!$B$11-K36,0)</x:f>
        <x:v>0</x:v>
      </x:c>
      <x:c r="M36" s="14" t="n">
        <x:f>IF(L36=0,0,IF(K36&gt;0,MAX((I36-G36)*'規則與技能'!$B$11,(H36-J36)*'規則與技能'!$B$11),L36))</x:f>
        <x:v>0</x:v>
      </x:c>
      <x:c r="N36" s="2" t="n">
        <x:v>0</x:v>
      </x:c>
      <x:c r="O36" s="2" t="str">
        <x:v>—</x:v>
      </x:c>
      <x:c r="P36" s="11" t="str">
        <x:v>本週草案未選用；不是法定假別認定</x:v>
      </x:c>
    </x:row>
    <x:row r="37" ht="34" customHeight="1">
      <x:c r="A37" s="12" t="n">
        <x:v>46282</x:v>
      </x:c>
      <x:c r="B37" s="2" t="str">
        <x:v>四</x:v>
      </x:c>
      <x:c r="C37" s="2" t="str">
        <x:v>Keanu</x:v>
      </x:c>
      <x:c r="D37" s="2" t="str">
        <x:v>工讀</x:v>
      </x:c>
      <x:c r="E37" s="2" t="str">
        <x:v>預排</x:v>
      </x:c>
      <x:c r="F37" s="2" t="str">
        <x:v>整天11:30</x:v>
      </x:c>
      <x:c r="G37" s="15" t="n">
        <x:v>0.4791666666666667</x:v>
      </x:c>
      <x:c r="H37" s="15" t="n">
        <x:v>0.8958333333333334</x:v>
      </x:c>
      <x:c r="I37" s="15" t="n">
        <x:v>0.6041666666666666</x:v>
      </x:c>
      <x:c r="J37" s="15" t="n">
        <x:v>0.6875</x:v>
      </x:c>
      <x:c r="K37" s="14" t="n">
        <x:f>IF(COUNT(I37:J37)=2,(J37-I37)*'規則與技能'!$B$11,0)</x:f>
        <x:v>2.000000000000001</x:v>
      </x:c>
      <x:c r="L37" s="14" t="n">
        <x:f>IF(COUNT(G37:H37)=2,(H37-G37)*'規則與技能'!$B$11-K37,0)</x:f>
        <x:v>7.999999999999999</x:v>
      </x:c>
      <x:c r="M37" s="14" t="n">
        <x:f>IF(L37=0,0,IF(K37&gt;0,MAX((I37-G37)*'規則與技能'!$B$11,(H37-J37)*'規則與技能'!$B$11),L37))</x:f>
        <x:v>5.000000000000001</x:v>
      </x:c>
      <x:c r="N37" s="2" t="n">
        <x:v>1</x:v>
      </x:c>
      <x:c r="O37" s="2" t="str">
        <x:v>吧台</x:v>
      </x:c>
      <x:c r="P37" s="11" t="str"/>
    </x:row>
    <x:row r="38" ht="34" customHeight="1">
      <x:c r="A38" s="12" t="n">
        <x:v>46283</x:v>
      </x:c>
      <x:c r="B38" s="2" t="str">
        <x:v>五</x:v>
      </x:c>
      <x:c r="C38" s="2" t="str">
        <x:v>Keanu</x:v>
      </x:c>
      <x:c r="D38" s="2" t="str">
        <x:v>工讀</x:v>
      </x:c>
      <x:c r="E38" s="2" t="str">
        <x:v>未排（非給班）</x:v>
      </x:c>
      <x:c r="F38" s="2" t="str">
        <x:v>—</x:v>
      </x:c>
      <x:c r="G38" s="15"/>
      <x:c r="H38" s="15"/>
      <x:c r="I38" s="15"/>
      <x:c r="J38" s="15"/>
      <x:c r="K38" s="14" t="n">
        <x:f>IF(COUNT(I38:J38)=2,(J38-I38)*'規則與技能'!$B$11,0)</x:f>
        <x:v>0</x:v>
      </x:c>
      <x:c r="L38" s="14" t="n">
        <x:f>IF(COUNT(G38:H38)=2,(H38-G38)*'規則與技能'!$B$11-K38,0)</x:f>
        <x:v>0</x:v>
      </x:c>
      <x:c r="M38" s="14" t="n">
        <x:f>IF(L38=0,0,IF(K38&gt;0,MAX((I38-G38)*'規則與技能'!$B$11,(H38-J38)*'規則與技能'!$B$11),L38))</x:f>
        <x:v>0</x:v>
      </x:c>
      <x:c r="N38" s="2" t="n">
        <x:v>0</x:v>
      </x:c>
      <x:c r="O38" s="2" t="str">
        <x:v>—</x:v>
      </x:c>
      <x:c r="P38" s="11" t="str">
        <x:v>未列於本週可給班時段</x:v>
      </x:c>
    </x:row>
    <x:row r="39" ht="34" customHeight="1">
      <x:c r="A39" s="12" t="n">
        <x:v>46284</x:v>
      </x:c>
      <x:c r="B39" s="2" t="str">
        <x:v>六</x:v>
      </x:c>
      <x:c r="C39" s="2" t="str">
        <x:v>Keanu</x:v>
      </x:c>
      <x:c r="D39" s="2" t="str">
        <x:v>工讀</x:v>
      </x:c>
      <x:c r="E39" s="2" t="str">
        <x:v>預排</x:v>
      </x:c>
      <x:c r="F39" s="2" t="str">
        <x:v>晚班17＊</x:v>
      </x:c>
      <x:c r="G39" s="15" t="n">
        <x:v>0.7083333333333334</x:v>
      </x:c>
      <x:c r="H39" s="15" t="n">
        <x:v>0.9166666666666666</x:v>
      </x:c>
      <x:c r="I39" s="15" t="n">
        <x:v>0.8541666666666666</x:v>
      </x:c>
      <x:c r="J39" s="15" t="n">
        <x:v>0.875</x:v>
      </x:c>
      <x:c r="K39" s="14" t="n">
        <x:f>IF(COUNT(I39:J39)=2,(J39-I39)*'規則與技能'!$B$11,0)</x:f>
        <x:v>0.5000000000000009</x:v>
      </x:c>
      <x:c r="L39" s="14" t="n">
        <x:f>IF(COUNT(G39:H39)=2,(H39-G39)*'規則與技能'!$B$11-K39,0)</x:f>
        <x:v>4.499999999999997</x:v>
      </x:c>
      <x:c r="M39" s="14" t="n">
        <x:f>IF(L39=0,0,IF(K39&gt;0,MAX((I39-G39)*'規則與技能'!$B$11,(H39-J39)*'規則與技能'!$B$11),L39))</x:f>
        <x:v>3.4999999999999982</x:v>
      </x:c>
      <x:c r="N39" s="2" t="n">
        <x:v>0</x:v>
      </x:c>
      <x:c r="O39" s="2" t="str">
        <x:v>外場</x:v>
      </x:c>
      <x:c r="P39" s="11" t="str">
        <x:v>＊休息建議待核定；未計為已通過全部規則</x:v>
      </x:c>
    </x:row>
    <x:row r="40" ht="34" customHeight="1">
      <x:c r="A40" s="12" t="n">
        <x:v>46285</x:v>
      </x:c>
      <x:c r="B40" s="2" t="str">
        <x:v>日</x:v>
      </x:c>
      <x:c r="C40" s="2" t="str">
        <x:v>Keanu</x:v>
      </x:c>
      <x:c r="D40" s="2" t="str">
        <x:v>工讀</x:v>
      </x:c>
      <x:c r="E40" s="2" t="str">
        <x:v>預排</x:v>
      </x:c>
      <x:c r="F40" s="2" t="str">
        <x:v>整天11:30</x:v>
      </x:c>
      <x:c r="G40" s="15" t="n">
        <x:v>0.4791666666666667</x:v>
      </x:c>
      <x:c r="H40" s="15" t="n">
        <x:v>0.8958333333333334</x:v>
      </x:c>
      <x:c r="I40" s="15" t="n">
        <x:v>0.5</x:v>
      </x:c>
      <x:c r="J40" s="15" t="n">
        <x:v>0.5833333333333334</x:v>
      </x:c>
      <x:c r="K40" s="14" t="n">
        <x:f>IF(COUNT(I40:J40)=2,(J40-I40)*'規則與技能'!$B$11,0)</x:f>
        <x:v>2.000000000000001</x:v>
      </x:c>
      <x:c r="L40" s="14" t="n">
        <x:f>IF(COUNT(G40:H40)=2,(H40-G40)*'規則與技能'!$B$11-K40,0)</x:f>
        <x:v>7.999999999999999</x:v>
      </x:c>
      <x:c r="M40" s="14" t="n">
        <x:f>IF(L40=0,0,IF(K40&gt;0,MAX((I40-G40)*'規則與技能'!$B$11,(H40-J40)*'規則與技能'!$B$11),L40))</x:f>
        <x:v>7.5</x:v>
      </x:c>
      <x:c r="N40" s="2" t="n">
        <x:v>1</x:v>
      </x:c>
      <x:c r="O40" s="2" t="str">
        <x:v>吧台</x:v>
      </x:c>
      <x:c r="P40" s="11" t="str"/>
    </x:row>
    <x:row r="41" ht="34" customHeight="1">
      <x:c r="A41" s="12" t="n">
        <x:v>46279</x:v>
      </x:c>
      <x:c r="B41" s="2" t="str">
        <x:v>一</x:v>
      </x:c>
      <x:c r="C41" s="2" t="str">
        <x:v>Denzel</x:v>
      </x:c>
      <x:c r="D41" s="2" t="str">
        <x:v>工讀</x:v>
      </x:c>
      <x:c r="E41" s="2" t="str">
        <x:v>預排</x:v>
      </x:c>
      <x:c r="F41" s="2" t="str">
        <x:v>早班</x:v>
      </x:c>
      <x:c r="G41" s="15" t="n">
        <x:v>0.4166666666666667</x:v>
      </x:c>
      <x:c r="H41" s="15" t="n">
        <x:v>0.6458333333333334</x:v>
      </x:c>
      <x:c r="I41" s="15" t="n">
        <x:v>0.5416666666666666</x:v>
      </x:c>
      <x:c r="J41" s="15" t="n">
        <x:v>0.5625</x:v>
      </x:c>
      <x:c r="K41" s="14" t="n">
        <x:f>IF(COUNT(I41:J41)=2,(J41-I41)*'規則與技能'!$B$11,0)</x:f>
        <x:v>0.5000000000000009</x:v>
      </x:c>
      <x:c r="L41" s="14" t="n">
        <x:f>IF(COUNT(G41:H41)=2,(H41-G41)*'規則與技能'!$B$11-K41,0)</x:f>
        <x:v>4.999999999999999</x:v>
      </x:c>
      <x:c r="M41" s="14" t="n">
        <x:f>IF(L41=0,0,IF(K41&gt;0,MAX((I41-G41)*'規則與技能'!$B$11,(H41-J41)*'規則與技能'!$B$11),L41))</x:f>
        <x:v>2.9999999999999987</x:v>
      </x:c>
      <x:c r="N41" s="2" t="n">
        <x:v>0</x:v>
      </x:c>
      <x:c r="O41" s="2" t="str">
        <x:v>司爐</x:v>
      </x:c>
      <x:c r="P41" s="11" t="str"/>
    </x:row>
    <x:row r="42" ht="34" customHeight="1">
      <x:c r="A42" s="12" t="n">
        <x:v>46280</x:v>
      </x:c>
      <x:c r="B42" s="2" t="str">
        <x:v>二</x:v>
      </x:c>
      <x:c r="C42" s="2" t="str">
        <x:v>Denzel</x:v>
      </x:c>
      <x:c r="D42" s="2" t="str">
        <x:v>工讀</x:v>
      </x:c>
      <x:c r="E42" s="2" t="str">
        <x:v>不可排／指定休</x:v>
      </x:c>
      <x:c r="F42" s="2" t="str">
        <x:v>—</x:v>
      </x:c>
      <x:c r="G42" s="15"/>
      <x:c r="H42" s="15"/>
      <x:c r="I42" s="15"/>
      <x:c r="J42" s="15"/>
      <x:c r="K42" s="14" t="n">
        <x:f>IF(COUNT(I42:J42)=2,(J42-I42)*'規則與技能'!$B$11,0)</x:f>
        <x:v>0</x:v>
      </x:c>
      <x:c r="L42" s="14" t="n">
        <x:f>IF(COUNT(G42:H42)=2,(H42-G42)*'規則與技能'!$B$11-K42,0)</x:f>
        <x:v>0</x:v>
      </x:c>
      <x:c r="M42" s="14" t="n">
        <x:f>IF(L42=0,0,IF(K42&gt;0,MAX((I42-G42)*'規則與技能'!$B$11,(H42-J42)*'規則與技能'!$B$11),L42))</x:f>
        <x:v>0</x:v>
      </x:c>
      <x:c r="N42" s="2" t="n">
        <x:v>0</x:v>
      </x:c>
      <x:c r="O42" s="2" t="str">
        <x:v>—</x:v>
      </x:c>
      <x:c r="P42" s="11" t="str">
        <x:v>依指定休／不可排</x:v>
      </x:c>
    </x:row>
    <x:row r="43" ht="34" customHeight="1">
      <x:c r="A43" s="12" t="n">
        <x:v>46281</x:v>
      </x:c>
      <x:c r="B43" s="2" t="str">
        <x:v>三</x:v>
      </x:c>
      <x:c r="C43" s="2" t="str">
        <x:v>Denzel</x:v>
      </x:c>
      <x:c r="D43" s="2" t="str">
        <x:v>工讀</x:v>
      </x:c>
      <x:c r="E43" s="2" t="str">
        <x:v>未排（可排）</x:v>
      </x:c>
      <x:c r="F43" s="2" t="str">
        <x:v>—</x:v>
      </x:c>
      <x:c r="G43" s="15"/>
      <x:c r="H43" s="15"/>
      <x:c r="I43" s="15"/>
      <x:c r="J43" s="15"/>
      <x:c r="K43" s="14" t="n">
        <x:f>IF(COUNT(I43:J43)=2,(J43-I43)*'規則與技能'!$B$11,0)</x:f>
        <x:v>0</x:v>
      </x:c>
      <x:c r="L43" s="14" t="n">
        <x:f>IF(COUNT(G43:H43)=2,(H43-G43)*'規則與技能'!$B$11-K43,0)</x:f>
        <x:v>0</x:v>
      </x:c>
      <x:c r="M43" s="14" t="n">
        <x:f>IF(L43=0,0,IF(K43&gt;0,MAX((I43-G43)*'規則與技能'!$B$11,(H43-J43)*'規則與技能'!$B$11),L43))</x:f>
        <x:v>0</x:v>
      </x:c>
      <x:c r="N43" s="2" t="n">
        <x:v>0</x:v>
      </x:c>
      <x:c r="O43" s="2" t="str">
        <x:v>—</x:v>
      </x:c>
      <x:c r="P43" s="11" t="str">
        <x:v>本週草案未選用；不是法定假別認定</x:v>
      </x:c>
    </x:row>
    <x:row r="44" ht="34" customHeight="1">
      <x:c r="A44" s="12" t="n">
        <x:v>46282</x:v>
      </x:c>
      <x:c r="B44" s="2" t="str">
        <x:v>四</x:v>
      </x:c>
      <x:c r="C44" s="2" t="str">
        <x:v>Denzel</x:v>
      </x:c>
      <x:c r="D44" s="2" t="str">
        <x:v>工讀</x:v>
      </x:c>
      <x:c r="E44" s="2" t="str">
        <x:v>未排（可排）</x:v>
      </x:c>
      <x:c r="F44" s="2" t="str">
        <x:v>—</x:v>
      </x:c>
      <x:c r="G44" s="15"/>
      <x:c r="H44" s="15"/>
      <x:c r="I44" s="15"/>
      <x:c r="J44" s="15"/>
      <x:c r="K44" s="14" t="n">
        <x:f>IF(COUNT(I44:J44)=2,(J44-I44)*'規則與技能'!$B$11,0)</x:f>
        <x:v>0</x:v>
      </x:c>
      <x:c r="L44" s="14" t="n">
        <x:f>IF(COUNT(G44:H44)=2,(H44-G44)*'規則與技能'!$B$11-K44,0)</x:f>
        <x:v>0</x:v>
      </x:c>
      <x:c r="M44" s="14" t="n">
        <x:f>IF(L44=0,0,IF(K44&gt;0,MAX((I44-G44)*'規則與技能'!$B$11,(H44-J44)*'規則與技能'!$B$11),L44))</x:f>
        <x:v>0</x:v>
      </x:c>
      <x:c r="N44" s="2" t="n">
        <x:v>0</x:v>
      </x:c>
      <x:c r="O44" s="2" t="str">
        <x:v>—</x:v>
      </x:c>
      <x:c r="P44" s="11" t="str">
        <x:v>本週草案未選用；不是法定假別認定</x:v>
      </x:c>
    </x:row>
    <x:row r="45" ht="34" customHeight="1">
      <x:c r="A45" s="12" t="n">
        <x:v>46283</x:v>
      </x:c>
      <x:c r="B45" s="2" t="str">
        <x:v>五</x:v>
      </x:c>
      <x:c r="C45" s="2" t="str">
        <x:v>Denzel</x:v>
      </x:c>
      <x:c r="D45" s="2" t="str">
        <x:v>工讀</x:v>
      </x:c>
      <x:c r="E45" s="2" t="str">
        <x:v>不可排／指定休</x:v>
      </x:c>
      <x:c r="F45" s="2" t="str">
        <x:v>—</x:v>
      </x:c>
      <x:c r="G45" s="15"/>
      <x:c r="H45" s="15"/>
      <x:c r="I45" s="15"/>
      <x:c r="J45" s="15"/>
      <x:c r="K45" s="14" t="n">
        <x:f>IF(COUNT(I45:J45)=2,(J45-I45)*'規則與技能'!$B$11,0)</x:f>
        <x:v>0</x:v>
      </x:c>
      <x:c r="L45" s="14" t="n">
        <x:f>IF(COUNT(G45:H45)=2,(H45-G45)*'規則與技能'!$B$11-K45,0)</x:f>
        <x:v>0</x:v>
      </x:c>
      <x:c r="M45" s="14" t="n">
        <x:f>IF(L45=0,0,IF(K45&gt;0,MAX((I45-G45)*'規則與技能'!$B$11,(H45-J45)*'規則與技能'!$B$11),L45))</x:f>
        <x:v>0</x:v>
      </x:c>
      <x:c r="N45" s="2" t="n">
        <x:v>0</x:v>
      </x:c>
      <x:c r="O45" s="2" t="str">
        <x:v>—</x:v>
      </x:c>
      <x:c r="P45" s="11" t="str">
        <x:v>依指定休／不可排</x:v>
      </x:c>
    </x:row>
    <x:row r="46" ht="34" customHeight="1">
      <x:c r="A46" s="12" t="n">
        <x:v>46284</x:v>
      </x:c>
      <x:c r="B46" s="2" t="str">
        <x:v>六</x:v>
      </x:c>
      <x:c r="C46" s="2" t="str">
        <x:v>Denzel</x:v>
      </x:c>
      <x:c r="D46" s="2" t="str">
        <x:v>工讀</x:v>
      </x:c>
      <x:c r="E46" s="2" t="str">
        <x:v>預排</x:v>
      </x:c>
      <x:c r="F46" s="2" t="str">
        <x:v>整天11:30</x:v>
      </x:c>
      <x:c r="G46" s="15" t="n">
        <x:v>0.4791666666666667</x:v>
      </x:c>
      <x:c r="H46" s="15" t="n">
        <x:v>0.8958333333333334</x:v>
      </x:c>
      <x:c r="I46" s="15" t="n">
        <x:v>0.6458333333333334</x:v>
      </x:c>
      <x:c r="J46" s="15" t="n">
        <x:v>0.7291666666666666</x:v>
      </x:c>
      <x:c r="K46" s="14" t="n">
        <x:f>IF(COUNT(I46:J46)=2,(J46-I46)*'規則與技能'!$B$11,0)</x:f>
        <x:v>1.9999999999999982</x:v>
      </x:c>
      <x:c r="L46" s="14" t="n">
        <x:f>IF(COUNT(G46:H46)=2,(H46-G46)*'規則與技能'!$B$11-K46,0)</x:f>
        <x:v>8.000000000000002</x:v>
      </x:c>
      <x:c r="M46" s="14" t="n">
        <x:f>IF(L46=0,0,IF(K46&gt;0,MAX((I46-G46)*'規則與技能'!$B$11,(H46-J46)*'規則與技能'!$B$11),L46))</x:f>
        <x:v>4.000000000000002</x:v>
      </x:c>
      <x:c r="N46" s="2" t="n">
        <x:v>1</x:v>
      </x:c>
      <x:c r="O46" s="2" t="str">
        <x:v>司爐</x:v>
      </x:c>
      <x:c r="P46" s="11" t="str"/>
    </x:row>
    <x:row r="47" ht="34" customHeight="1">
      <x:c r="A47" s="12" t="n">
        <x:v>46285</x:v>
      </x:c>
      <x:c r="B47" s="2" t="str">
        <x:v>日</x:v>
      </x:c>
      <x:c r="C47" s="2" t="str">
        <x:v>Denzel</x:v>
      </x:c>
      <x:c r="D47" s="2" t="str">
        <x:v>工讀</x:v>
      </x:c>
      <x:c r="E47" s="2" t="str">
        <x:v>預排</x:v>
      </x:c>
      <x:c r="F47" s="2" t="str">
        <x:v>整天10</x:v>
      </x:c>
      <x:c r="G47" s="15" t="n">
        <x:v>0.4166666666666667</x:v>
      </x:c>
      <x:c r="H47" s="15" t="n">
        <x:v>0.8333333333333334</x:v>
      </x:c>
      <x:c r="I47" s="15" t="n">
        <x:v>0.5833333333333334</x:v>
      </x:c>
      <x:c r="J47" s="15" t="n">
        <x:v>0.6666666666666666</x:v>
      </x:c>
      <x:c r="K47" s="14" t="n">
        <x:f>IF(COUNT(I47:J47)=2,(J47-I47)*'規則與技能'!$B$11,0)</x:f>
        <x:v>1.9999999999999982</x:v>
      </x:c>
      <x:c r="L47" s="14" t="n">
        <x:f>IF(COUNT(G47:H47)=2,(H47-G47)*'規則與技能'!$B$11-K47,0)</x:f>
        <x:v>8.000000000000002</x:v>
      </x:c>
      <x:c r="M47" s="14" t="n">
        <x:f>IF(L47=0,0,IF(K47&gt;0,MAX((I47-G47)*'規則與技能'!$B$11,(H47-J47)*'規則與技能'!$B$11),L47))</x:f>
        <x:v>4.000000000000002</x:v>
      </x:c>
      <x:c r="N47" s="2" t="n">
        <x:v>1</x:v>
      </x:c>
      <x:c r="O47" s="2" t="str">
        <x:v>料區</x:v>
      </x:c>
      <x:c r="P47" s="11" t="str"/>
    </x:row>
    <x:row r="48" ht="34" customHeight="1">
      <x:c r="A48" s="12" t="n">
        <x:v>46279</x:v>
      </x:c>
      <x:c r="B48" s="2" t="str">
        <x:v>一</x:v>
      </x:c>
      <x:c r="C48" s="2" t="str">
        <x:v>Will</x:v>
      </x:c>
      <x:c r="D48" s="2" t="str">
        <x:v>工讀</x:v>
      </x:c>
      <x:c r="E48" s="2" t="str">
        <x:v>預排</x:v>
      </x:c>
      <x:c r="F48" s="2" t="str">
        <x:v>晚班18</x:v>
      </x:c>
      <x:c r="G48" s="15" t="n">
        <x:v>0.75</x:v>
      </x:c>
      <x:c r="H48" s="15" t="n">
        <x:v>0.8958333333333334</x:v>
      </x:c>
      <x:c r="I48" s="15"/>
      <x:c r="J48" s="15"/>
      <x:c r="K48" s="14" t="n">
        <x:f>IF(COUNT(I48:J48)=2,(J48-I48)*'規則與技能'!$B$11,0)</x:f>
        <x:v>0</x:v>
      </x:c>
      <x:c r="L48" s="14" t="n">
        <x:f>IF(COUNT(G48:H48)=2,(H48-G48)*'規則與技能'!$B$11-K48,0)</x:f>
        <x:v>3.500000000000001</x:v>
      </x:c>
      <x:c r="M48" s="14" t="n">
        <x:f>IF(L48=0,0,IF(K48&gt;0,MAX((I48-G48)*'規則與技能'!$B$11,(H48-J48)*'規則與技能'!$B$11),L48))</x:f>
        <x:v>3.500000000000001</x:v>
      </x:c>
      <x:c r="N48" s="2" t="n">
        <x:v>0</x:v>
      </x:c>
      <x:c r="O48" s="2" t="str">
        <x:v>料區</x:v>
      </x:c>
      <x:c r="P48" s="11" t="str"/>
    </x:row>
    <x:row r="49" ht="34" customHeight="1">
      <x:c r="A49" s="12" t="n">
        <x:v>46280</x:v>
      </x:c>
      <x:c r="B49" s="2" t="str">
        <x:v>二</x:v>
      </x:c>
      <x:c r="C49" s="2" t="str">
        <x:v>Will</x:v>
      </x:c>
      <x:c r="D49" s="2" t="str">
        <x:v>工讀</x:v>
      </x:c>
      <x:c r="E49" s="2" t="str">
        <x:v>未排（可排）</x:v>
      </x:c>
      <x:c r="F49" s="2" t="str">
        <x:v>—</x:v>
      </x:c>
      <x:c r="G49" s="15"/>
      <x:c r="H49" s="15"/>
      <x:c r="I49" s="15"/>
      <x:c r="J49" s="15"/>
      <x:c r="K49" s="14" t="n">
        <x:f>IF(COUNT(I49:J49)=2,(J49-I49)*'規則與技能'!$B$11,0)</x:f>
        <x:v>0</x:v>
      </x:c>
      <x:c r="L49" s="14" t="n">
        <x:f>IF(COUNT(G49:H49)=2,(H49-G49)*'規則與技能'!$B$11-K49,0)</x:f>
        <x:v>0</x:v>
      </x:c>
      <x:c r="M49" s="14" t="n">
        <x:f>IF(L49=0,0,IF(K49&gt;0,MAX((I49-G49)*'規則與技能'!$B$11,(H49-J49)*'規則與技能'!$B$11),L49))</x:f>
        <x:v>0</x:v>
      </x:c>
      <x:c r="N49" s="2" t="n">
        <x:v>0</x:v>
      </x:c>
      <x:c r="O49" s="2" t="str">
        <x:v>—</x:v>
      </x:c>
      <x:c r="P49" s="11" t="str">
        <x:v>本週草案未選用；不是法定假別認定</x:v>
      </x:c>
    </x:row>
    <x:row r="50" ht="34" customHeight="1">
      <x:c r="A50" s="12" t="n">
        <x:v>46281</x:v>
      </x:c>
      <x:c r="B50" s="2" t="str">
        <x:v>三</x:v>
      </x:c>
      <x:c r="C50" s="2" t="str">
        <x:v>Will</x:v>
      </x:c>
      <x:c r="D50" s="2" t="str">
        <x:v>工讀</x:v>
      </x:c>
      <x:c r="E50" s="2" t="str">
        <x:v>預排</x:v>
      </x:c>
      <x:c r="F50" s="2" t="str">
        <x:v>晚班18</x:v>
      </x:c>
      <x:c r="G50" s="15" t="n">
        <x:v>0.75</x:v>
      </x:c>
      <x:c r="H50" s="15" t="n">
        <x:v>0.8958333333333334</x:v>
      </x:c>
      <x:c r="I50" s="15"/>
      <x:c r="J50" s="15"/>
      <x:c r="K50" s="14" t="n">
        <x:f>IF(COUNT(I50:J50)=2,(J50-I50)*'規則與技能'!$B$11,0)</x:f>
        <x:v>0</x:v>
      </x:c>
      <x:c r="L50" s="14" t="n">
        <x:f>IF(COUNT(G50:H50)=2,(H50-G50)*'規則與技能'!$B$11-K50,0)</x:f>
        <x:v>3.500000000000001</x:v>
      </x:c>
      <x:c r="M50" s="14" t="n">
        <x:f>IF(L50=0,0,IF(K50&gt;0,MAX((I50-G50)*'規則與技能'!$B$11,(H50-J50)*'規則與技能'!$B$11),L50))</x:f>
        <x:v>3.500000000000001</x:v>
      </x:c>
      <x:c r="N50" s="2" t="n">
        <x:v>0</x:v>
      </x:c>
      <x:c r="O50" s="2" t="str">
        <x:v>料區</x:v>
      </x:c>
      <x:c r="P50" s="11" t="str"/>
    </x:row>
    <x:row r="51" ht="34" customHeight="1">
      <x:c r="A51" s="12" t="n">
        <x:v>46282</x:v>
      </x:c>
      <x:c r="B51" s="2" t="str">
        <x:v>四</x:v>
      </x:c>
      <x:c r="C51" s="2" t="str">
        <x:v>Will</x:v>
      </x:c>
      <x:c r="D51" s="2" t="str">
        <x:v>工讀</x:v>
      </x:c>
      <x:c r="E51" s="2" t="str">
        <x:v>預排</x:v>
      </x:c>
      <x:c r="F51" s="2" t="str">
        <x:v>晚班18</x:v>
      </x:c>
      <x:c r="G51" s="15" t="n">
        <x:v>0.75</x:v>
      </x:c>
      <x:c r="H51" s="15" t="n">
        <x:v>0.8958333333333334</x:v>
      </x:c>
      <x:c r="I51" s="15"/>
      <x:c r="J51" s="15"/>
      <x:c r="K51" s="14" t="n">
        <x:f>IF(COUNT(I51:J51)=2,(J51-I51)*'規則與技能'!$B$11,0)</x:f>
        <x:v>0</x:v>
      </x:c>
      <x:c r="L51" s="14" t="n">
        <x:f>IF(COUNT(G51:H51)=2,(H51-G51)*'規則與技能'!$B$11-K51,0)</x:f>
        <x:v>3.500000000000001</x:v>
      </x:c>
      <x:c r="M51" s="14" t="n">
        <x:f>IF(L51=0,0,IF(K51&gt;0,MAX((I51-G51)*'規則與技能'!$B$11,(H51-J51)*'規則與技能'!$B$11),L51))</x:f>
        <x:v>3.500000000000001</x:v>
      </x:c>
      <x:c r="N51" s="2" t="n">
        <x:v>0</x:v>
      </x:c>
      <x:c r="O51" s="2" t="str">
        <x:v>料區</x:v>
      </x:c>
      <x:c r="P51" s="11" t="str"/>
    </x:row>
    <x:row r="52" ht="34" customHeight="1">
      <x:c r="A52" s="12" t="n">
        <x:v>46283</x:v>
      </x:c>
      <x:c r="B52" s="2" t="str">
        <x:v>五</x:v>
      </x:c>
      <x:c r="C52" s="2" t="str">
        <x:v>Will</x:v>
      </x:c>
      <x:c r="D52" s="2" t="str">
        <x:v>工讀</x:v>
      </x:c>
      <x:c r="E52" s="2" t="str">
        <x:v>預排</x:v>
      </x:c>
      <x:c r="F52" s="2" t="str">
        <x:v>晚班18</x:v>
      </x:c>
      <x:c r="G52" s="15" t="n">
        <x:v>0.75</x:v>
      </x:c>
      <x:c r="H52" s="15" t="n">
        <x:v>0.8958333333333334</x:v>
      </x:c>
      <x:c r="I52" s="15"/>
      <x:c r="J52" s="15"/>
      <x:c r="K52" s="14" t="n">
        <x:f>IF(COUNT(I52:J52)=2,(J52-I52)*'規則與技能'!$B$11,0)</x:f>
        <x:v>0</x:v>
      </x:c>
      <x:c r="L52" s="14" t="n">
        <x:f>IF(COUNT(G52:H52)=2,(H52-G52)*'規則與技能'!$B$11-K52,0)</x:f>
        <x:v>3.500000000000001</x:v>
      </x:c>
      <x:c r="M52" s="14" t="n">
        <x:f>IF(L52=0,0,IF(K52&gt;0,MAX((I52-G52)*'規則與技能'!$B$11,(H52-J52)*'規則與技能'!$B$11),L52))</x:f>
        <x:v>3.500000000000001</x:v>
      </x:c>
      <x:c r="N52" s="2" t="n">
        <x:v>0</x:v>
      </x:c>
      <x:c r="O52" s="2" t="str">
        <x:v>料區</x:v>
      </x:c>
      <x:c r="P52" s="11" t="str"/>
    </x:row>
    <x:row r="53" ht="34" customHeight="1">
      <x:c r="A53" s="12" t="n">
        <x:v>46284</x:v>
      </x:c>
      <x:c r="B53" s="2" t="str">
        <x:v>六</x:v>
      </x:c>
      <x:c r="C53" s="2" t="str">
        <x:v>Will</x:v>
      </x:c>
      <x:c r="D53" s="2" t="str">
        <x:v>工讀</x:v>
      </x:c>
      <x:c r="E53" s="2" t="str">
        <x:v>預排</x:v>
      </x:c>
      <x:c r="F53" s="2" t="str">
        <x:v>整天11:30</x:v>
      </x:c>
      <x:c r="G53" s="15" t="n">
        <x:v>0.4791666666666667</x:v>
      </x:c>
      <x:c r="H53" s="15" t="n">
        <x:v>0.8958333333333334</x:v>
      </x:c>
      <x:c r="I53" s="15" t="n">
        <x:v>0.6458333333333334</x:v>
      </x:c>
      <x:c r="J53" s="15" t="n">
        <x:v>0.7291666666666666</x:v>
      </x:c>
      <x:c r="K53" s="14" t="n">
        <x:f>IF(COUNT(I53:J53)=2,(J53-I53)*'規則與技能'!$B$11,0)</x:f>
        <x:v>1.9999999999999982</x:v>
      </x:c>
      <x:c r="L53" s="14" t="n">
        <x:f>IF(COUNT(G53:H53)=2,(H53-G53)*'規則與技能'!$B$11-K53,0)</x:f>
        <x:v>8.000000000000002</x:v>
      </x:c>
      <x:c r="M53" s="14" t="n">
        <x:f>IF(L53=0,0,IF(K53&gt;0,MAX((I53-G53)*'規則與技能'!$B$11,(H53-J53)*'規則與技能'!$B$11),L53))</x:f>
        <x:v>4.000000000000002</x:v>
      </x:c>
      <x:c r="N53" s="2" t="n">
        <x:v>1</x:v>
      </x:c>
      <x:c r="O53" s="2" t="str">
        <x:v>料區</x:v>
      </x:c>
      <x:c r="P53" s="11" t="str"/>
    </x:row>
    <x:row r="54" ht="34" customHeight="1">
      <x:c r="A54" s="12" t="n">
        <x:v>46285</x:v>
      </x:c>
      <x:c r="B54" s="2" t="str">
        <x:v>日</x:v>
      </x:c>
      <x:c r="C54" s="2" t="str">
        <x:v>Will</x:v>
      </x:c>
      <x:c r="D54" s="2" t="str">
        <x:v>工讀</x:v>
      </x:c>
      <x:c r="E54" s="2" t="str">
        <x:v>未排（可排）</x:v>
      </x:c>
      <x:c r="F54" s="2" t="str">
        <x:v>—</x:v>
      </x:c>
      <x:c r="G54" s="15"/>
      <x:c r="H54" s="15"/>
      <x:c r="I54" s="15"/>
      <x:c r="J54" s="15"/>
      <x:c r="K54" s="14" t="n">
        <x:f>IF(COUNT(I54:J54)=2,(J54-I54)*'規則與技能'!$B$11,0)</x:f>
        <x:v>0</x:v>
      </x:c>
      <x:c r="L54" s="14" t="n">
        <x:f>IF(COUNT(G54:H54)=2,(H54-G54)*'規則與技能'!$B$11-K54,0)</x:f>
        <x:v>0</x:v>
      </x:c>
      <x:c r="M54" s="14" t="n">
        <x:f>IF(L54=0,0,IF(K54&gt;0,MAX((I54-G54)*'規則與技能'!$B$11,(H54-J54)*'規則與技能'!$B$11),L54))</x:f>
        <x:v>0</x:v>
      </x:c>
      <x:c r="N54" s="2" t="n">
        <x:v>0</x:v>
      </x:c>
      <x:c r="O54" s="2" t="str">
        <x:v>—</x:v>
      </x:c>
      <x:c r="P54" s="11" t="str">
        <x:v>本週草案未選用；不是法定假別認定</x:v>
      </x:c>
    </x:row>
    <x:row r="55" ht="34" customHeight="1">
      <x:c r="A55" s="12" t="n">
        <x:v>46279</x:v>
      </x:c>
      <x:c r="B55" s="2" t="str">
        <x:v>一</x:v>
      </x:c>
      <x:c r="C55" s="2" t="str">
        <x:v>Leo</x:v>
      </x:c>
      <x:c r="D55" s="2" t="str">
        <x:v>工讀</x:v>
      </x:c>
      <x:c r="E55" s="2" t="str">
        <x:v>不可排／指定休</x:v>
      </x:c>
      <x:c r="F55" s="2" t="str">
        <x:v>—</x:v>
      </x:c>
      <x:c r="G55" s="15"/>
      <x:c r="H55" s="15"/>
      <x:c r="I55" s="15"/>
      <x:c r="J55" s="15"/>
      <x:c r="K55" s="14" t="n">
        <x:f>IF(COUNT(I55:J55)=2,(J55-I55)*'規則與技能'!$B$11,0)</x:f>
        <x:v>0</x:v>
      </x:c>
      <x:c r="L55" s="14" t="n">
        <x:f>IF(COUNT(G55:H55)=2,(H55-G55)*'規則與技能'!$B$11-K55,0)</x:f>
        <x:v>0</x:v>
      </x:c>
      <x:c r="M55" s="14" t="n">
        <x:f>IF(L55=0,0,IF(K55&gt;0,MAX((I55-G55)*'規則與技能'!$B$11,(H55-J55)*'規則與技能'!$B$11),L55))</x:f>
        <x:v>0</x:v>
      </x:c>
      <x:c r="N55" s="2" t="n">
        <x:v>0</x:v>
      </x:c>
      <x:c r="O55" s="2" t="str">
        <x:v>—</x:v>
      </x:c>
      <x:c r="P55" s="11" t="str">
        <x:v>依指定休／不可排</x:v>
      </x:c>
    </x:row>
    <x:row r="56" ht="34" customHeight="1">
      <x:c r="A56" s="12" t="n">
        <x:v>46280</x:v>
      </x:c>
      <x:c r="B56" s="2" t="str">
        <x:v>二</x:v>
      </x:c>
      <x:c r="C56" s="2" t="str">
        <x:v>Leo</x:v>
      </x:c>
      <x:c r="D56" s="2" t="str">
        <x:v>工讀</x:v>
      </x:c>
      <x:c r="E56" s="2" t="str">
        <x:v>未排（可排）</x:v>
      </x:c>
      <x:c r="F56" s="2" t="str">
        <x:v>—</x:v>
      </x:c>
      <x:c r="G56" s="15"/>
      <x:c r="H56" s="15"/>
      <x:c r="I56" s="15"/>
      <x:c r="J56" s="15"/>
      <x:c r="K56" s="14" t="n">
        <x:f>IF(COUNT(I56:J56)=2,(J56-I56)*'規則與技能'!$B$11,0)</x:f>
        <x:v>0</x:v>
      </x:c>
      <x:c r="L56" s="14" t="n">
        <x:f>IF(COUNT(G56:H56)=2,(H56-G56)*'規則與技能'!$B$11-K56,0)</x:f>
        <x:v>0</x:v>
      </x:c>
      <x:c r="M56" s="14" t="n">
        <x:f>IF(L56=0,0,IF(K56&gt;0,MAX((I56-G56)*'規則與技能'!$B$11,(H56-J56)*'規則與技能'!$B$11),L56))</x:f>
        <x:v>0</x:v>
      </x:c>
      <x:c r="N56" s="2" t="n">
        <x:v>0</x:v>
      </x:c>
      <x:c r="O56" s="2" t="str">
        <x:v>—</x:v>
      </x:c>
      <x:c r="P56" s="11" t="str">
        <x:v>本週草案未選用；不是法定假別認定</x:v>
      </x:c>
    </x:row>
    <x:row r="57" ht="34" customHeight="1">
      <x:c r="A57" s="12" t="n">
        <x:v>46281</x:v>
      </x:c>
      <x:c r="B57" s="2" t="str">
        <x:v>三</x:v>
      </x:c>
      <x:c r="C57" s="2" t="str">
        <x:v>Leo</x:v>
      </x:c>
      <x:c r="D57" s="2" t="str">
        <x:v>工讀</x:v>
      </x:c>
      <x:c r="E57" s="2" t="str">
        <x:v>預排</x:v>
      </x:c>
      <x:c r="F57" s="2" t="str">
        <x:v>晚班18</x:v>
      </x:c>
      <x:c r="G57" s="15" t="n">
        <x:v>0.75</x:v>
      </x:c>
      <x:c r="H57" s="15" t="n">
        <x:v>0.8958333333333334</x:v>
      </x:c>
      <x:c r="I57" s="15"/>
      <x:c r="J57" s="15"/>
      <x:c r="K57" s="14" t="n">
        <x:f>IF(COUNT(I57:J57)=2,(J57-I57)*'規則與技能'!$B$11,0)</x:f>
        <x:v>0</x:v>
      </x:c>
      <x:c r="L57" s="14" t="n">
        <x:f>IF(COUNT(G57:H57)=2,(H57-G57)*'規則與技能'!$B$11-K57,0)</x:f>
        <x:v>3.500000000000001</x:v>
      </x:c>
      <x:c r="M57" s="14" t="n">
        <x:f>IF(L57=0,0,IF(K57&gt;0,MAX((I57-G57)*'規則與技能'!$B$11,(H57-J57)*'規則與技能'!$B$11),L57))</x:f>
        <x:v>3.500000000000001</x:v>
      </x:c>
      <x:c r="N57" s="2" t="n">
        <x:v>0</x:v>
      </x:c>
      <x:c r="O57" s="2" t="str">
        <x:v>炸區</x:v>
      </x:c>
      <x:c r="P57" s="11" t="str"/>
    </x:row>
    <x:row r="58" ht="34" customHeight="1">
      <x:c r="A58" s="12" t="n">
        <x:v>46282</x:v>
      </x:c>
      <x:c r="B58" s="2" t="str">
        <x:v>四</x:v>
      </x:c>
      <x:c r="C58" s="2" t="str">
        <x:v>Leo</x:v>
      </x:c>
      <x:c r="D58" s="2" t="str">
        <x:v>工讀</x:v>
      </x:c>
      <x:c r="E58" s="2" t="str">
        <x:v>預排</x:v>
      </x:c>
      <x:c r="F58" s="2" t="str">
        <x:v>晚班18</x:v>
      </x:c>
      <x:c r="G58" s="15" t="n">
        <x:v>0.75</x:v>
      </x:c>
      <x:c r="H58" s="15" t="n">
        <x:v>0.8958333333333334</x:v>
      </x:c>
      <x:c r="I58" s="15"/>
      <x:c r="J58" s="15"/>
      <x:c r="K58" s="14" t="n">
        <x:f>IF(COUNT(I58:J58)=2,(J58-I58)*'規則與技能'!$B$11,0)</x:f>
        <x:v>0</x:v>
      </x:c>
      <x:c r="L58" s="14" t="n">
        <x:f>IF(COUNT(G58:H58)=2,(H58-G58)*'規則與技能'!$B$11-K58,0)</x:f>
        <x:v>3.500000000000001</x:v>
      </x:c>
      <x:c r="M58" s="14" t="n">
        <x:f>IF(L58=0,0,IF(K58&gt;0,MAX((I58-G58)*'規則與技能'!$B$11,(H58-J58)*'規則與技能'!$B$11),L58))</x:f>
        <x:v>3.500000000000001</x:v>
      </x:c>
      <x:c r="N58" s="2" t="n">
        <x:v>0</x:v>
      </x:c>
      <x:c r="O58" s="2" t="str">
        <x:v>拍區</x:v>
      </x:c>
      <x:c r="P58" s="11" t="str"/>
    </x:row>
    <x:row r="59" ht="34" customHeight="1">
      <x:c r="A59" s="12" t="n">
        <x:v>46283</x:v>
      </x:c>
      <x:c r="B59" s="2" t="str">
        <x:v>五</x:v>
      </x:c>
      <x:c r="C59" s="2" t="str">
        <x:v>Leo</x:v>
      </x:c>
      <x:c r="D59" s="2" t="str">
        <x:v>工讀</x:v>
      </x:c>
      <x:c r="E59" s="2" t="str">
        <x:v>不可排／指定休</x:v>
      </x:c>
      <x:c r="F59" s="2" t="str">
        <x:v>—</x:v>
      </x:c>
      <x:c r="G59" s="15"/>
      <x:c r="H59" s="15"/>
      <x:c r="I59" s="15"/>
      <x:c r="J59" s="15"/>
      <x:c r="K59" s="14" t="n">
        <x:f>IF(COUNT(I59:J59)=2,(J59-I59)*'規則與技能'!$B$11,0)</x:f>
        <x:v>0</x:v>
      </x:c>
      <x:c r="L59" s="14" t="n">
        <x:f>IF(COUNT(G59:H59)=2,(H59-G59)*'規則與技能'!$B$11-K59,0)</x:f>
        <x:v>0</x:v>
      </x:c>
      <x:c r="M59" s="14" t="n">
        <x:f>IF(L59=0,0,IF(K59&gt;0,MAX((I59-G59)*'規則與技能'!$B$11,(H59-J59)*'規則與技能'!$B$11),L59))</x:f>
        <x:v>0</x:v>
      </x:c>
      <x:c r="N59" s="2" t="n">
        <x:v>0</x:v>
      </x:c>
      <x:c r="O59" s="2" t="str">
        <x:v>—</x:v>
      </x:c>
      <x:c r="P59" s="11" t="str">
        <x:v>依指定休／不可排</x:v>
      </x:c>
    </x:row>
    <x:row r="60" ht="34" customHeight="1">
      <x:c r="A60" s="12" t="n">
        <x:v>46284</x:v>
      </x:c>
      <x:c r="B60" s="2" t="str">
        <x:v>六</x:v>
      </x:c>
      <x:c r="C60" s="2" t="str">
        <x:v>Leo</x:v>
      </x:c>
      <x:c r="D60" s="2" t="str">
        <x:v>工讀</x:v>
      </x:c>
      <x:c r="E60" s="2" t="str">
        <x:v>預排</x:v>
      </x:c>
      <x:c r="F60" s="2" t="str">
        <x:v>整天12</x:v>
      </x:c>
      <x:c r="G60" s="15" t="n">
        <x:v>0.5</x:v>
      </x:c>
      <x:c r="H60" s="15" t="n">
        <x:v>0.9166666666666666</x:v>
      </x:c>
      <x:c r="I60" s="15" t="n">
        <x:v>0.6666666666666666</x:v>
      </x:c>
      <x:c r="J60" s="15" t="n">
        <x:v>0.75</x:v>
      </x:c>
      <x:c r="K60" s="14" t="n">
        <x:f>IF(COUNT(I60:J60)=2,(J60-I60)*'規則與技能'!$B$11,0)</x:f>
        <x:v>2.000000000000001</x:v>
      </x:c>
      <x:c r="L60" s="14" t="n">
        <x:f>IF(COUNT(G60:H60)=2,(H60-G60)*'規則與技能'!$B$11-K60,0)</x:f>
        <x:v>7.999999999999999</x:v>
      </x:c>
      <x:c r="M60" s="14" t="n">
        <x:f>IF(L60=0,0,IF(K60&gt;0,MAX((I60-G60)*'規則與技能'!$B$11,(H60-J60)*'規則與技能'!$B$11),L60))</x:f>
        <x:v>3.999999999999999</x:v>
      </x:c>
      <x:c r="N60" s="2" t="n">
        <x:v>1</x:v>
      </x:c>
      <x:c r="O60" s="2" t="str">
        <x:v>拍區</x:v>
      </x:c>
      <x:c r="P60" s="11" t="str"/>
    </x:row>
    <x:row r="61" ht="34" customHeight="1">
      <x:c r="A61" s="12" t="n">
        <x:v>46285</x:v>
      </x:c>
      <x:c r="B61" s="2" t="str">
        <x:v>日</x:v>
      </x:c>
      <x:c r="C61" s="2" t="str">
        <x:v>Leo</x:v>
      </x:c>
      <x:c r="D61" s="2" t="str">
        <x:v>工讀</x:v>
      </x:c>
      <x:c r="E61" s="2" t="str">
        <x:v>預排</x:v>
      </x:c>
      <x:c r="F61" s="2" t="str">
        <x:v>中班12</x:v>
      </x:c>
      <x:c r="G61" s="15" t="n">
        <x:v>0.5</x:v>
      </x:c>
      <x:c r="H61" s="15" t="n">
        <x:v>0.75</x:v>
      </x:c>
      <x:c r="I61" s="15" t="n">
        <x:v>0.5833333333333334</x:v>
      </x:c>
      <x:c r="J61" s="15" t="n">
        <x:v>0.6041666666666666</x:v>
      </x:c>
      <x:c r="K61" s="14" t="n">
        <x:f>IF(COUNT(I61:J61)=2,(J61-I61)*'規則與技能'!$B$11,0)</x:f>
        <x:v>0.4999999999999982</x:v>
      </x:c>
      <x:c r="L61" s="14" t="n">
        <x:f>IF(COUNT(G61:H61)=2,(H61-G61)*'規則與技能'!$B$11-K61,0)</x:f>
        <x:v>5.500000000000002</x:v>
      </x:c>
      <x:c r="M61" s="14" t="n">
        <x:f>IF(L61=0,0,IF(K61&gt;0,MAX((I61-G61)*'規則與技能'!$B$11,(H61-J61)*'規則與技能'!$B$11),L61))</x:f>
        <x:v>3.500000000000001</x:v>
      </x:c>
      <x:c r="N61" s="2" t="n">
        <x:v>0</x:v>
      </x:c>
      <x:c r="O61" s="2" t="str">
        <x:v>拍區</x:v>
      </x:c>
      <x:c r="P61" s="11" t="str"/>
    </x:row>
    <x:row r="62" ht="34" customHeight="1">
      <x:c r="A62" s="12" t="n">
        <x:v>46279</x:v>
      </x:c>
      <x:c r="B62" s="2" t="str">
        <x:v>一</x:v>
      </x:c>
      <x:c r="C62" s="2" t="str">
        <x:v>Zendaya</x:v>
      </x:c>
      <x:c r="D62" s="2" t="str">
        <x:v>工讀</x:v>
      </x:c>
      <x:c r="E62" s="2" t="str">
        <x:v>預排</x:v>
      </x:c>
      <x:c r="F62" s="2" t="str">
        <x:v>整天11</x:v>
      </x:c>
      <x:c r="G62" s="15" t="n">
        <x:v>0.4583333333333333</x:v>
      </x:c>
      <x:c r="H62" s="15" t="n">
        <x:v>0.875</x:v>
      </x:c>
      <x:c r="I62" s="15" t="n">
        <x:v>0.625</x:v>
      </x:c>
      <x:c r="J62" s="15" t="n">
        <x:v>0.7083333333333334</x:v>
      </x:c>
      <x:c r="K62" s="14" t="n">
        <x:f>IF(COUNT(I62:J62)=2,(J62-I62)*'規則與技能'!$B$11,0)</x:f>
        <x:v>2.000000000000001</x:v>
      </x:c>
      <x:c r="L62" s="14" t="n">
        <x:f>IF(COUNT(G62:H62)=2,(H62-G62)*'規則與技能'!$B$11-K62,0)</x:f>
        <x:v>7.999999999999999</x:v>
      </x:c>
      <x:c r="M62" s="14" t="n">
        <x:f>IF(L62=0,0,IF(K62&gt;0,MAX((I62-G62)*'規則與技能'!$B$11,(H62-J62)*'規則與技能'!$B$11),L62))</x:f>
        <x:v>4</x:v>
      </x:c>
      <x:c r="N62" s="2" t="n">
        <x:v>1</x:v>
      </x:c>
      <x:c r="O62" s="2" t="str">
        <x:v>料區；炸區</x:v>
      </x:c>
      <x:c r="P62" s="11" t="str"/>
    </x:row>
    <x:row r="63" ht="34" customHeight="1">
      <x:c r="A63" s="12" t="n">
        <x:v>46280</x:v>
      </x:c>
      <x:c r="B63" s="2" t="str">
        <x:v>二</x:v>
      </x:c>
      <x:c r="C63" s="2" t="str">
        <x:v>Zendaya</x:v>
      </x:c>
      <x:c r="D63" s="2" t="str">
        <x:v>工讀</x:v>
      </x:c>
      <x:c r="E63" s="2" t="str">
        <x:v>未排（可排）</x:v>
      </x:c>
      <x:c r="F63" s="2" t="str">
        <x:v>—</x:v>
      </x:c>
      <x:c r="G63" s="15"/>
      <x:c r="H63" s="15"/>
      <x:c r="I63" s="15"/>
      <x:c r="J63" s="15"/>
      <x:c r="K63" s="14" t="n">
        <x:f>IF(COUNT(I63:J63)=2,(J63-I63)*'規則與技能'!$B$11,0)</x:f>
        <x:v>0</x:v>
      </x:c>
      <x:c r="L63" s="14" t="n">
        <x:f>IF(COUNT(G63:H63)=2,(H63-G63)*'規則與技能'!$B$11-K63,0)</x:f>
        <x:v>0</x:v>
      </x:c>
      <x:c r="M63" s="14" t="n">
        <x:f>IF(L63=0,0,IF(K63&gt;0,MAX((I63-G63)*'規則與技能'!$B$11,(H63-J63)*'規則與技能'!$B$11),L63))</x:f>
        <x:v>0</x:v>
      </x:c>
      <x:c r="N63" s="2" t="n">
        <x:v>0</x:v>
      </x:c>
      <x:c r="O63" s="2" t="str">
        <x:v>—</x:v>
      </x:c>
      <x:c r="P63" s="11" t="str">
        <x:v>本週草案未選用；不是法定假別認定</x:v>
      </x:c>
    </x:row>
    <x:row r="64" ht="34" customHeight="1">
      <x:c r="A64" s="12" t="n">
        <x:v>46281</x:v>
      </x:c>
      <x:c r="B64" s="2" t="str">
        <x:v>三</x:v>
      </x:c>
      <x:c r="C64" s="2" t="str">
        <x:v>Zendaya</x:v>
      </x:c>
      <x:c r="D64" s="2" t="str">
        <x:v>工讀</x:v>
      </x:c>
      <x:c r="E64" s="2" t="str">
        <x:v>預排</x:v>
      </x:c>
      <x:c r="F64" s="2" t="str">
        <x:v>整天11:30</x:v>
      </x:c>
      <x:c r="G64" s="15" t="n">
        <x:v>0.4791666666666667</x:v>
      </x:c>
      <x:c r="H64" s="15" t="n">
        <x:v>0.8958333333333334</x:v>
      </x:c>
      <x:c r="I64" s="15" t="n">
        <x:v>0.6041666666666666</x:v>
      </x:c>
      <x:c r="J64" s="15" t="n">
        <x:v>0.6875</x:v>
      </x:c>
      <x:c r="K64" s="14" t="n">
        <x:f>IF(COUNT(I64:J64)=2,(J64-I64)*'規則與技能'!$B$11,0)</x:f>
        <x:v>2.000000000000001</x:v>
      </x:c>
      <x:c r="L64" s="14" t="n">
        <x:f>IF(COUNT(G64:H64)=2,(H64-G64)*'規則與技能'!$B$11-K64,0)</x:f>
        <x:v>7.999999999999999</x:v>
      </x:c>
      <x:c r="M64" s="14" t="n">
        <x:f>IF(L64=0,0,IF(K64&gt;0,MAX((I64-G64)*'規則與技能'!$B$11,(H64-J64)*'規則與技能'!$B$11),L64))</x:f>
        <x:v>5.000000000000001</x:v>
      </x:c>
      <x:c r="N64" s="2" t="n">
        <x:v>1</x:v>
      </x:c>
      <x:c r="O64" s="2" t="str">
        <x:v>司爐</x:v>
      </x:c>
      <x:c r="P64" s="11" t="str"/>
    </x:row>
    <x:row r="65" ht="34" customHeight="1">
      <x:c r="A65" s="12" t="n">
        <x:v>46282</x:v>
      </x:c>
      <x:c r="B65" s="2" t="str">
        <x:v>四</x:v>
      </x:c>
      <x:c r="C65" s="2" t="str">
        <x:v>Zendaya</x:v>
      </x:c>
      <x:c r="D65" s="2" t="str">
        <x:v>工讀</x:v>
      </x:c>
      <x:c r="E65" s="2" t="str">
        <x:v>未排（可排）</x:v>
      </x:c>
      <x:c r="F65" s="2" t="str">
        <x:v>—</x:v>
      </x:c>
      <x:c r="G65" s="15"/>
      <x:c r="H65" s="15"/>
      <x:c r="I65" s="15"/>
      <x:c r="J65" s="15"/>
      <x:c r="K65" s="14" t="n">
        <x:f>IF(COUNT(I65:J65)=2,(J65-I65)*'規則與技能'!$B$11,0)</x:f>
        <x:v>0</x:v>
      </x:c>
      <x:c r="L65" s="14" t="n">
        <x:f>IF(COUNT(G65:H65)=2,(H65-G65)*'規則與技能'!$B$11-K65,0)</x:f>
        <x:v>0</x:v>
      </x:c>
      <x:c r="M65" s="14" t="n">
        <x:f>IF(L65=0,0,IF(K65&gt;0,MAX((I65-G65)*'規則與技能'!$B$11,(H65-J65)*'規則與技能'!$B$11),L65))</x:f>
        <x:v>0</x:v>
      </x:c>
      <x:c r="N65" s="2" t="n">
        <x:v>0</x:v>
      </x:c>
      <x:c r="O65" s="2" t="str">
        <x:v>—</x:v>
      </x:c>
      <x:c r="P65" s="11" t="str">
        <x:v>本週草案未選用；不是法定假別認定</x:v>
      </x:c>
    </x:row>
    <x:row r="66" ht="34" customHeight="1">
      <x:c r="A66" s="12" t="n">
        <x:v>46283</x:v>
      </x:c>
      <x:c r="B66" s="2" t="str">
        <x:v>五</x:v>
      </x:c>
      <x:c r="C66" s="2" t="str">
        <x:v>Zendaya</x:v>
      </x:c>
      <x:c r="D66" s="2" t="str">
        <x:v>工讀</x:v>
      </x:c>
      <x:c r="E66" s="2" t="str">
        <x:v>預排</x:v>
      </x:c>
      <x:c r="F66" s="2" t="str">
        <x:v>整天11:30</x:v>
      </x:c>
      <x:c r="G66" s="15" t="n">
        <x:v>0.4791666666666667</x:v>
      </x:c>
      <x:c r="H66" s="15" t="n">
        <x:v>0.8958333333333334</x:v>
      </x:c>
      <x:c r="I66" s="15" t="n">
        <x:v>0.6041666666666666</x:v>
      </x:c>
      <x:c r="J66" s="15" t="n">
        <x:v>0.6875</x:v>
      </x:c>
      <x:c r="K66" s="14" t="n">
        <x:f>IF(COUNT(I66:J66)=2,(J66-I66)*'規則與技能'!$B$11,0)</x:f>
        <x:v>2.000000000000001</x:v>
      </x:c>
      <x:c r="L66" s="14" t="n">
        <x:f>IF(COUNT(G66:H66)=2,(H66-G66)*'規則與技能'!$B$11-K66,0)</x:f>
        <x:v>7.999999999999999</x:v>
      </x:c>
      <x:c r="M66" s="14" t="n">
        <x:f>IF(L66=0,0,IF(K66&gt;0,MAX((I66-G66)*'規則與技能'!$B$11,(H66-J66)*'規則與技能'!$B$11),L66))</x:f>
        <x:v>5.000000000000001</x:v>
      </x:c>
      <x:c r="N66" s="2" t="n">
        <x:v>1</x:v>
      </x:c>
      <x:c r="O66" s="2" t="str">
        <x:v>司爐；炸區</x:v>
      </x:c>
      <x:c r="P66" s="11" t="str"/>
    </x:row>
    <x:row r="67" ht="34" customHeight="1">
      <x:c r="A67" s="12" t="n">
        <x:v>46284</x:v>
      </x:c>
      <x:c r="B67" s="2" t="str">
        <x:v>六</x:v>
      </x:c>
      <x:c r="C67" s="2" t="str">
        <x:v>Zendaya</x:v>
      </x:c>
      <x:c r="D67" s="2" t="str">
        <x:v>工讀</x:v>
      </x:c>
      <x:c r="E67" s="2" t="str">
        <x:v>不可排／指定休</x:v>
      </x:c>
      <x:c r="F67" s="2" t="str">
        <x:v>—</x:v>
      </x:c>
      <x:c r="G67" s="15"/>
      <x:c r="H67" s="15"/>
      <x:c r="I67" s="15"/>
      <x:c r="J67" s="15"/>
      <x:c r="K67" s="14" t="n">
        <x:f>IF(COUNT(I67:J67)=2,(J67-I67)*'規則與技能'!$B$11,0)</x:f>
        <x:v>0</x:v>
      </x:c>
      <x:c r="L67" s="14" t="n">
        <x:f>IF(COUNT(G67:H67)=2,(H67-G67)*'規則與技能'!$B$11-K67,0)</x:f>
        <x:v>0</x:v>
      </x:c>
      <x:c r="M67" s="14" t="n">
        <x:f>IF(L67=0,0,IF(K67&gt;0,MAX((I67-G67)*'規則與技能'!$B$11,(H67-J67)*'規則與技能'!$B$11),L67))</x:f>
        <x:v>0</x:v>
      </x:c>
      <x:c r="N67" s="2" t="n">
        <x:v>0</x:v>
      </x:c>
      <x:c r="O67" s="2" t="str">
        <x:v>—</x:v>
      </x:c>
      <x:c r="P67" s="11" t="str">
        <x:v>依指定休／不可排</x:v>
      </x:c>
    </x:row>
    <x:row r="68" ht="34" customHeight="1">
      <x:c r="A68" s="12" t="n">
        <x:v>46285</x:v>
      </x:c>
      <x:c r="B68" s="2" t="str">
        <x:v>日</x:v>
      </x:c>
      <x:c r="C68" s="2" t="str">
        <x:v>Zendaya</x:v>
      </x:c>
      <x:c r="D68" s="2" t="str">
        <x:v>工讀</x:v>
      </x:c>
      <x:c r="E68" s="2" t="str">
        <x:v>不可排／指定休</x:v>
      </x:c>
      <x:c r="F68" s="2" t="str">
        <x:v>—</x:v>
      </x:c>
      <x:c r="G68" s="15"/>
      <x:c r="H68" s="15"/>
      <x:c r="I68" s="15"/>
      <x:c r="J68" s="15"/>
      <x:c r="K68" s="14" t="n">
        <x:f>IF(COUNT(I68:J68)=2,(J68-I68)*'規則與技能'!$B$11,0)</x:f>
        <x:v>0</x:v>
      </x:c>
      <x:c r="L68" s="14" t="n">
        <x:f>IF(COUNT(G68:H68)=2,(H68-G68)*'規則與技能'!$B$11-K68,0)</x:f>
        <x:v>0</x:v>
      </x:c>
      <x:c r="M68" s="14" t="n">
        <x:f>IF(L68=0,0,IF(K68&gt;0,MAX((I68-G68)*'規則與技能'!$B$11,(H68-J68)*'規則與技能'!$B$11),L68))</x:f>
        <x:v>0</x:v>
      </x:c>
      <x:c r="N68" s="2" t="n">
        <x:v>0</x:v>
      </x:c>
      <x:c r="O68" s="2" t="str">
        <x:v>—</x:v>
      </x:c>
      <x:c r="P68" s="11" t="str">
        <x:v>依指定休／不可排</x:v>
      </x:c>
    </x:row>
    <x:row r="69" ht="34" customHeight="1">
      <x:c r="A69" s="12" t="n">
        <x:v>46279</x:v>
      </x:c>
      <x:c r="B69" s="2" t="str">
        <x:v>一</x:v>
      </x:c>
      <x:c r="C69" s="2" t="str">
        <x:v>Morgan</x:v>
      </x:c>
      <x:c r="D69" s="2" t="str">
        <x:v>工讀</x:v>
      </x:c>
      <x:c r="E69" s="2" t="str">
        <x:v>未排（可排）</x:v>
      </x:c>
      <x:c r="F69" s="2" t="str">
        <x:v>—</x:v>
      </x:c>
      <x:c r="G69" s="15"/>
      <x:c r="H69" s="15"/>
      <x:c r="I69" s="15"/>
      <x:c r="J69" s="15"/>
      <x:c r="K69" s="14" t="n">
        <x:f>IF(COUNT(I69:J69)=2,(J69-I69)*'規則與技能'!$B$11,0)</x:f>
        <x:v>0</x:v>
      </x:c>
      <x:c r="L69" s="14" t="n">
        <x:f>IF(COUNT(G69:H69)=2,(H69-G69)*'規則與技能'!$B$11-K69,0)</x:f>
        <x:v>0</x:v>
      </x:c>
      <x:c r="M69" s="14" t="n">
        <x:f>IF(L69=0,0,IF(K69&gt;0,MAX((I69-G69)*'規則與技能'!$B$11,(H69-J69)*'規則與技能'!$B$11),L69))</x:f>
        <x:v>0</x:v>
      </x:c>
      <x:c r="N69" s="2" t="n">
        <x:v>0</x:v>
      </x:c>
      <x:c r="O69" s="2" t="str">
        <x:v>—</x:v>
      </x:c>
      <x:c r="P69" s="11" t="str">
        <x:v>本週草案未選用；不是法定假別認定</x:v>
      </x:c>
    </x:row>
    <x:row r="70" ht="34" customHeight="1">
      <x:c r="A70" s="12" t="n">
        <x:v>46280</x:v>
      </x:c>
      <x:c r="B70" s="2" t="str">
        <x:v>二</x:v>
      </x:c>
      <x:c r="C70" s="2" t="str">
        <x:v>Morgan</x:v>
      </x:c>
      <x:c r="D70" s="2" t="str">
        <x:v>工讀</x:v>
      </x:c>
      <x:c r="E70" s="2" t="str">
        <x:v>預排</x:v>
      </x:c>
      <x:c r="F70" s="2" t="str">
        <x:v>早班</x:v>
      </x:c>
      <x:c r="G70" s="15" t="n">
        <x:v>0.4166666666666667</x:v>
      </x:c>
      <x:c r="H70" s="15" t="n">
        <x:v>0.6458333333333334</x:v>
      </x:c>
      <x:c r="I70" s="15" t="n">
        <x:v>0.5416666666666666</x:v>
      </x:c>
      <x:c r="J70" s="15" t="n">
        <x:v>0.5625</x:v>
      </x:c>
      <x:c r="K70" s="14" t="n">
        <x:f>IF(COUNT(I70:J70)=2,(J70-I70)*'規則與技能'!$B$11,0)</x:f>
        <x:v>0.5000000000000009</x:v>
      </x:c>
      <x:c r="L70" s="14" t="n">
        <x:f>IF(COUNT(G70:H70)=2,(H70-G70)*'規則與技能'!$B$11-K70,0)</x:f>
        <x:v>4.999999999999999</x:v>
      </x:c>
      <x:c r="M70" s="14" t="n">
        <x:f>IF(L70=0,0,IF(K70&gt;0,MAX((I70-G70)*'規則與技能'!$B$11,(H70-J70)*'規則與技能'!$B$11),L70))</x:f>
        <x:v>2.9999999999999987</x:v>
      </x:c>
      <x:c r="N70" s="2" t="n">
        <x:v>0</x:v>
      </x:c>
      <x:c r="O70" s="2" t="str">
        <x:v>料區</x:v>
      </x:c>
      <x:c r="P70" s="11" t="str"/>
    </x:row>
    <x:row r="71" ht="34" customHeight="1">
      <x:c r="A71" s="12" t="n">
        <x:v>46281</x:v>
      </x:c>
      <x:c r="B71" s="2" t="str">
        <x:v>三</x:v>
      </x:c>
      <x:c r="C71" s="2" t="str">
        <x:v>Morgan</x:v>
      </x:c>
      <x:c r="D71" s="2" t="str">
        <x:v>工讀</x:v>
      </x:c>
      <x:c r="E71" s="2" t="str">
        <x:v>預排</x:v>
      </x:c>
      <x:c r="F71" s="2" t="str">
        <x:v>早班</x:v>
      </x:c>
      <x:c r="G71" s="15" t="n">
        <x:v>0.4166666666666667</x:v>
      </x:c>
      <x:c r="H71" s="15" t="n">
        <x:v>0.6458333333333334</x:v>
      </x:c>
      <x:c r="I71" s="15" t="n">
        <x:v>0.5416666666666666</x:v>
      </x:c>
      <x:c r="J71" s="15" t="n">
        <x:v>0.5625</x:v>
      </x:c>
      <x:c r="K71" s="14" t="n">
        <x:f>IF(COUNT(I71:J71)=2,(J71-I71)*'規則與技能'!$B$11,0)</x:f>
        <x:v>0.5000000000000009</x:v>
      </x:c>
      <x:c r="L71" s="14" t="n">
        <x:f>IF(COUNT(G71:H71)=2,(H71-G71)*'規則與技能'!$B$11-K71,0)</x:f>
        <x:v>4.999999999999999</x:v>
      </x:c>
      <x:c r="M71" s="14" t="n">
        <x:f>IF(L71=0,0,IF(K71&gt;0,MAX((I71-G71)*'規則與技能'!$B$11,(H71-J71)*'規則與技能'!$B$11),L71))</x:f>
        <x:v>2.9999999999999987</x:v>
      </x:c>
      <x:c r="N71" s="2" t="n">
        <x:v>0</x:v>
      </x:c>
      <x:c r="O71" s="2" t="str">
        <x:v>料區</x:v>
      </x:c>
      <x:c r="P71" s="11" t="str"/>
    </x:row>
    <x:row r="72" ht="34" customHeight="1">
      <x:c r="A72" s="12" t="n">
        <x:v>46282</x:v>
      </x:c>
      <x:c r="B72" s="2" t="str">
        <x:v>四</x:v>
      </x:c>
      <x:c r="C72" s="2" t="str">
        <x:v>Morgan</x:v>
      </x:c>
      <x:c r="D72" s="2" t="str">
        <x:v>工讀</x:v>
      </x:c>
      <x:c r="E72" s="2" t="str">
        <x:v>預排</x:v>
      </x:c>
      <x:c r="F72" s="2" t="str">
        <x:v>早班</x:v>
      </x:c>
      <x:c r="G72" s="15" t="n">
        <x:v>0.4166666666666667</x:v>
      </x:c>
      <x:c r="H72" s="15" t="n">
        <x:v>0.6458333333333334</x:v>
      </x:c>
      <x:c r="I72" s="15" t="n">
        <x:v>0.5416666666666666</x:v>
      </x:c>
      <x:c r="J72" s="15" t="n">
        <x:v>0.5625</x:v>
      </x:c>
      <x:c r="K72" s="14" t="n">
        <x:f>IF(COUNT(I72:J72)=2,(J72-I72)*'規則與技能'!$B$11,0)</x:f>
        <x:v>0.5000000000000009</x:v>
      </x:c>
      <x:c r="L72" s="14" t="n">
        <x:f>IF(COUNT(G72:H72)=2,(H72-G72)*'規則與技能'!$B$11-K72,0)</x:f>
        <x:v>4.999999999999999</x:v>
      </x:c>
      <x:c r="M72" s="14" t="n">
        <x:f>IF(L72=0,0,IF(K72&gt;0,MAX((I72-G72)*'規則與技能'!$B$11,(H72-J72)*'規則與技能'!$B$11),L72))</x:f>
        <x:v>2.9999999999999987</x:v>
      </x:c>
      <x:c r="N72" s="2" t="n">
        <x:v>0</x:v>
      </x:c>
      <x:c r="O72" s="2" t="str">
        <x:v>料區</x:v>
      </x:c>
      <x:c r="P72" s="11" t="str"/>
    </x:row>
    <x:row r="73" ht="34" customHeight="1">
      <x:c r="A73" s="12" t="n">
        <x:v>46283</x:v>
      </x:c>
      <x:c r="B73" s="2" t="str">
        <x:v>五</x:v>
      </x:c>
      <x:c r="C73" s="2" t="str">
        <x:v>Morgan</x:v>
      </x:c>
      <x:c r="D73" s="2" t="str">
        <x:v>工讀</x:v>
      </x:c>
      <x:c r="E73" s="2" t="str">
        <x:v>預排</x:v>
      </x:c>
      <x:c r="F73" s="2" t="str">
        <x:v>早班</x:v>
      </x:c>
      <x:c r="G73" s="15" t="n">
        <x:v>0.4166666666666667</x:v>
      </x:c>
      <x:c r="H73" s="15" t="n">
        <x:v>0.6458333333333334</x:v>
      </x:c>
      <x:c r="I73" s="15" t="n">
        <x:v>0.5416666666666666</x:v>
      </x:c>
      <x:c r="J73" s="15" t="n">
        <x:v>0.5625</x:v>
      </x:c>
      <x:c r="K73" s="14" t="n">
        <x:f>IF(COUNT(I73:J73)=2,(J73-I73)*'規則與技能'!$B$11,0)</x:f>
        <x:v>0.5000000000000009</x:v>
      </x:c>
      <x:c r="L73" s="14" t="n">
        <x:f>IF(COUNT(G73:H73)=2,(H73-G73)*'規則與技能'!$B$11-K73,0)</x:f>
        <x:v>4.999999999999999</x:v>
      </x:c>
      <x:c r="M73" s="14" t="n">
        <x:f>IF(L73=0,0,IF(K73&gt;0,MAX((I73-G73)*'規則與技能'!$B$11,(H73-J73)*'規則與技能'!$B$11),L73))</x:f>
        <x:v>2.9999999999999987</x:v>
      </x:c>
      <x:c r="N73" s="2" t="n">
        <x:v>0</x:v>
      </x:c>
      <x:c r="O73" s="2" t="str">
        <x:v>料區</x:v>
      </x:c>
      <x:c r="P73" s="11" t="str"/>
    </x:row>
    <x:row r="74" ht="34" customHeight="1">
      <x:c r="A74" s="12" t="n">
        <x:v>46284</x:v>
      </x:c>
      <x:c r="B74" s="2" t="str">
        <x:v>六</x:v>
      </x:c>
      <x:c r="C74" s="2" t="str">
        <x:v>Morgan</x:v>
      </x:c>
      <x:c r="D74" s="2" t="str">
        <x:v>工讀</x:v>
      </x:c>
      <x:c r="E74" s="2" t="str">
        <x:v>未排（可排）</x:v>
      </x:c>
      <x:c r="F74" s="2" t="str">
        <x:v>—</x:v>
      </x:c>
      <x:c r="G74" s="15"/>
      <x:c r="H74" s="15"/>
      <x:c r="I74" s="15"/>
      <x:c r="J74" s="15"/>
      <x:c r="K74" s="14" t="n">
        <x:f>IF(COUNT(I74:J74)=2,(J74-I74)*'規則與技能'!$B$11,0)</x:f>
        <x:v>0</x:v>
      </x:c>
      <x:c r="L74" s="14" t="n">
        <x:f>IF(COUNT(G74:H74)=2,(H74-G74)*'規則與技能'!$B$11-K74,0)</x:f>
        <x:v>0</x:v>
      </x:c>
      <x:c r="M74" s="14" t="n">
        <x:f>IF(L74=0,0,IF(K74&gt;0,MAX((I74-G74)*'規則與技能'!$B$11,(H74-J74)*'規則與技能'!$B$11),L74))</x:f>
        <x:v>0</x:v>
      </x:c>
      <x:c r="N74" s="2" t="n">
        <x:v>0</x:v>
      </x:c>
      <x:c r="O74" s="2" t="str">
        <x:v>—</x:v>
      </x:c>
      <x:c r="P74" s="11" t="str">
        <x:v>本週草案未選用；不是法定假別認定</x:v>
      </x:c>
    </x:row>
    <x:row r="75" ht="34" customHeight="1">
      <x:c r="A75" s="12" t="n">
        <x:v>46285</x:v>
      </x:c>
      <x:c r="B75" s="2" t="str">
        <x:v>日</x:v>
      </x:c>
      <x:c r="C75" s="2" t="str">
        <x:v>Morgan</x:v>
      </x:c>
      <x:c r="D75" s="2" t="str">
        <x:v>工讀</x:v>
      </x:c>
      <x:c r="E75" s="2" t="str">
        <x:v>未排（可排）</x:v>
      </x:c>
      <x:c r="F75" s="2" t="str">
        <x:v>—</x:v>
      </x:c>
      <x:c r="G75" s="15"/>
      <x:c r="H75" s="15"/>
      <x:c r="I75" s="15"/>
      <x:c r="J75" s="15"/>
      <x:c r="K75" s="14" t="n">
        <x:f>IF(COUNT(I75:J75)=2,(J75-I75)*'規則與技能'!$B$11,0)</x:f>
        <x:v>0</x:v>
      </x:c>
      <x:c r="L75" s="14" t="n">
        <x:f>IF(COUNT(G75:H75)=2,(H75-G75)*'規則與技能'!$B$11-K75,0)</x:f>
        <x:v>0</x:v>
      </x:c>
      <x:c r="M75" s="14" t="n">
        <x:f>IF(L75=0,0,IF(K75&gt;0,MAX((I75-G75)*'規則與技能'!$B$11,(H75-J75)*'規則與技能'!$B$11),L75))</x:f>
        <x:v>0</x:v>
      </x:c>
      <x:c r="N75" s="2" t="n">
        <x:v>0</x:v>
      </x:c>
      <x:c r="O75" s="2" t="str">
        <x:v>—</x:v>
      </x:c>
      <x:c r="P75" s="11" t="str">
        <x:v>本週草案未選用；不是法定假別認定</x:v>
      </x:c>
    </x:row>
    <x:row r="76" ht="34" customHeight="1">
      <x:c r="A76" s="12" t="n">
        <x:v>46279</x:v>
      </x:c>
      <x:c r="B76" s="2" t="str">
        <x:v>一</x:v>
      </x:c>
      <x:c r="C76" s="2" t="str">
        <x:v>Scarlett</x:v>
      </x:c>
      <x:c r="D76" s="2" t="str">
        <x:v>工讀</x:v>
      </x:c>
      <x:c r="E76" s="2" t="str">
        <x:v>未排（可排）</x:v>
      </x:c>
      <x:c r="F76" s="2" t="str">
        <x:v>—</x:v>
      </x:c>
      <x:c r="G76" s="15"/>
      <x:c r="H76" s="15"/>
      <x:c r="I76" s="15"/>
      <x:c r="J76" s="15"/>
      <x:c r="K76" s="14" t="n">
        <x:f>IF(COUNT(I76:J76)=2,(J76-I76)*'規則與技能'!$B$11,0)</x:f>
        <x:v>0</x:v>
      </x:c>
      <x:c r="L76" s="14" t="n">
        <x:f>IF(COUNT(G76:H76)=2,(H76-G76)*'規則與技能'!$B$11-K76,0)</x:f>
        <x:v>0</x:v>
      </x:c>
      <x:c r="M76" s="14" t="n">
        <x:f>IF(L76=0,0,IF(K76&gt;0,MAX((I76-G76)*'規則與技能'!$B$11,(H76-J76)*'規則與技能'!$B$11),L76))</x:f>
        <x:v>0</x:v>
      </x:c>
      <x:c r="N76" s="2" t="n">
        <x:v>0</x:v>
      </x:c>
      <x:c r="O76" s="2" t="str">
        <x:v>—</x:v>
      </x:c>
      <x:c r="P76" s="11" t="str">
        <x:v>本週草案未選用；不是法定假別認定</x:v>
      </x:c>
    </x:row>
    <x:row r="77" ht="34" customHeight="1">
      <x:c r="A77" s="12" t="n">
        <x:v>46280</x:v>
      </x:c>
      <x:c r="B77" s="2" t="str">
        <x:v>二</x:v>
      </x:c>
      <x:c r="C77" s="2" t="str">
        <x:v>Scarlett</x:v>
      </x:c>
      <x:c r="D77" s="2" t="str">
        <x:v>工讀</x:v>
      </x:c>
      <x:c r="E77" s="2" t="str">
        <x:v>預排</x:v>
      </x:c>
      <x:c r="F77" s="2" t="str">
        <x:v>晚班17:30</x:v>
      </x:c>
      <x:c r="G77" s="15" t="n">
        <x:v>0.7291666666666666</x:v>
      </x:c>
      <x:c r="H77" s="15" t="n">
        <x:v>0.8958333333333334</x:v>
      </x:c>
      <x:c r="I77" s="15"/>
      <x:c r="J77" s="15"/>
      <x:c r="K77" s="14" t="n">
        <x:f>IF(COUNT(I77:J77)=2,(J77-I77)*'規則與技能'!$B$11,0)</x:f>
        <x:v>0</x:v>
      </x:c>
      <x:c r="L77" s="14" t="n">
        <x:f>IF(COUNT(G77:H77)=2,(H77-G77)*'規則與技能'!$B$11-K77,0)</x:f>
        <x:v>4.000000000000002</x:v>
      </x:c>
      <x:c r="M77" s="14" t="n">
        <x:f>IF(L77=0,0,IF(K77&gt;0,MAX((I77-G77)*'規則與技能'!$B$11,(H77-J77)*'規則與技能'!$B$11),L77))</x:f>
        <x:v>4.000000000000002</x:v>
      </x:c>
      <x:c r="N77" s="2" t="n">
        <x:v>0</x:v>
      </x:c>
      <x:c r="O77" s="2" t="str">
        <x:v>外場</x:v>
      </x:c>
      <x:c r="P77" s="11" t="str"/>
    </x:row>
    <x:row r="78" ht="34" customHeight="1">
      <x:c r="A78" s="12" t="n">
        <x:v>46281</x:v>
      </x:c>
      <x:c r="B78" s="2" t="str">
        <x:v>三</x:v>
      </x:c>
      <x:c r="C78" s="2" t="str">
        <x:v>Scarlett</x:v>
      </x:c>
      <x:c r="D78" s="2" t="str">
        <x:v>工讀</x:v>
      </x:c>
      <x:c r="E78" s="2" t="str">
        <x:v>未排（可排）</x:v>
      </x:c>
      <x:c r="F78" s="2" t="str">
        <x:v>—</x:v>
      </x:c>
      <x:c r="G78" s="15"/>
      <x:c r="H78" s="15"/>
      <x:c r="I78" s="15"/>
      <x:c r="J78" s="15"/>
      <x:c r="K78" s="14" t="n">
        <x:f>IF(COUNT(I78:J78)=2,(J78-I78)*'規則與技能'!$B$11,0)</x:f>
        <x:v>0</x:v>
      </x:c>
      <x:c r="L78" s="14" t="n">
        <x:f>IF(COUNT(G78:H78)=2,(H78-G78)*'規則與技能'!$B$11-K78,0)</x:f>
        <x:v>0</x:v>
      </x:c>
      <x:c r="M78" s="14" t="n">
        <x:f>IF(L78=0,0,IF(K78&gt;0,MAX((I78-G78)*'規則與技能'!$B$11,(H78-J78)*'規則與技能'!$B$11),L78))</x:f>
        <x:v>0</x:v>
      </x:c>
      <x:c r="N78" s="2" t="n">
        <x:v>0</x:v>
      </x:c>
      <x:c r="O78" s="2" t="str">
        <x:v>—</x:v>
      </x:c>
      <x:c r="P78" s="11" t="str">
        <x:v>本週草案未選用；不是法定假別認定</x:v>
      </x:c>
    </x:row>
    <x:row r="79" ht="34" customHeight="1">
      <x:c r="A79" s="12" t="n">
        <x:v>46282</x:v>
      </x:c>
      <x:c r="B79" s="2" t="str">
        <x:v>四</x:v>
      </x:c>
      <x:c r="C79" s="2" t="str">
        <x:v>Scarlett</x:v>
      </x:c>
      <x:c r="D79" s="2" t="str">
        <x:v>工讀</x:v>
      </x:c>
      <x:c r="E79" s="2" t="str">
        <x:v>未排（可排）</x:v>
      </x:c>
      <x:c r="F79" s="2" t="str">
        <x:v>—</x:v>
      </x:c>
      <x:c r="G79" s="15"/>
      <x:c r="H79" s="15"/>
      <x:c r="I79" s="15"/>
      <x:c r="J79" s="15"/>
      <x:c r="K79" s="14" t="n">
        <x:f>IF(COUNT(I79:J79)=2,(J79-I79)*'規則與技能'!$B$11,0)</x:f>
        <x:v>0</x:v>
      </x:c>
      <x:c r="L79" s="14" t="n">
        <x:f>IF(COUNT(G79:H79)=2,(H79-G79)*'規則與技能'!$B$11-K79,0)</x:f>
        <x:v>0</x:v>
      </x:c>
      <x:c r="M79" s="14" t="n">
        <x:f>IF(L79=0,0,IF(K79&gt;0,MAX((I79-G79)*'規則與技能'!$B$11,(H79-J79)*'規則與技能'!$B$11),L79))</x:f>
        <x:v>0</x:v>
      </x:c>
      <x:c r="N79" s="2" t="n">
        <x:v>0</x:v>
      </x:c>
      <x:c r="O79" s="2" t="str">
        <x:v>—</x:v>
      </x:c>
      <x:c r="P79" s="11" t="str">
        <x:v>本週草案未選用；不是法定假別認定</x:v>
      </x:c>
    </x:row>
    <x:row r="80" ht="34" customHeight="1">
      <x:c r="A80" s="12" t="n">
        <x:v>46283</x:v>
      </x:c>
      <x:c r="B80" s="2" t="str">
        <x:v>五</x:v>
      </x:c>
      <x:c r="C80" s="2" t="str">
        <x:v>Scarlett</x:v>
      </x:c>
      <x:c r="D80" s="2" t="str">
        <x:v>工讀</x:v>
      </x:c>
      <x:c r="E80" s="2" t="str">
        <x:v>預排</x:v>
      </x:c>
      <x:c r="F80" s="2" t="str">
        <x:v>晚班17</x:v>
      </x:c>
      <x:c r="G80" s="15" t="n">
        <x:v>0.7083333333333334</x:v>
      </x:c>
      <x:c r="H80" s="15" t="n">
        <x:v>0.875</x:v>
      </x:c>
      <x:c r="I80" s="15"/>
      <x:c r="J80" s="15"/>
      <x:c r="K80" s="14" t="n">
        <x:f>IF(COUNT(I80:J80)=2,(J80-I80)*'規則與技能'!$B$11,0)</x:f>
        <x:v>0</x:v>
      </x:c>
      <x:c r="L80" s="14" t="n">
        <x:f>IF(COUNT(G80:H80)=2,(H80-G80)*'規則與技能'!$B$11-K80,0)</x:f>
        <x:v>3.999999999999999</x:v>
      </x:c>
      <x:c r="M80" s="14" t="n">
        <x:f>IF(L80=0,0,IF(K80&gt;0,MAX((I80-G80)*'規則與技能'!$B$11,(H80-J80)*'規則與技能'!$B$11),L80))</x:f>
        <x:v>3.999999999999999</x:v>
      </x:c>
      <x:c r="N80" s="2" t="n">
        <x:v>0</x:v>
      </x:c>
      <x:c r="O80" s="2" t="str">
        <x:v>司爐</x:v>
      </x:c>
      <x:c r="P80" s="11" t="str"/>
    </x:row>
    <x:row r="81" ht="34" customHeight="1">
      <x:c r="A81" s="12" t="n">
        <x:v>46284</x:v>
      </x:c>
      <x:c r="B81" s="2" t="str">
        <x:v>六</x:v>
      </x:c>
      <x:c r="C81" s="2" t="str">
        <x:v>Scarlett</x:v>
      </x:c>
      <x:c r="D81" s="2" t="str">
        <x:v>工讀</x:v>
      </x:c>
      <x:c r="E81" s="2" t="str">
        <x:v>預排</x:v>
      </x:c>
      <x:c r="F81" s="2" t="str">
        <x:v>整天11</x:v>
      </x:c>
      <x:c r="G81" s="15" t="n">
        <x:v>0.4583333333333333</x:v>
      </x:c>
      <x:c r="H81" s="15" t="n">
        <x:v>0.875</x:v>
      </x:c>
      <x:c r="I81" s="15" t="n">
        <x:v>0.625</x:v>
      </x:c>
      <x:c r="J81" s="15" t="n">
        <x:v>0.7083333333333334</x:v>
      </x:c>
      <x:c r="K81" s="14" t="n">
        <x:f>IF(COUNT(I81:J81)=2,(J81-I81)*'規則與技能'!$B$11,0)</x:f>
        <x:v>2.000000000000001</x:v>
      </x:c>
      <x:c r="L81" s="14" t="n">
        <x:f>IF(COUNT(G81:H81)=2,(H81-G81)*'規則與技能'!$B$11-K81,0)</x:f>
        <x:v>7.999999999999999</x:v>
      </x:c>
      <x:c r="M81" s="14" t="n">
        <x:f>IF(L81=0,0,IF(K81&gt;0,MAX((I81-G81)*'規則與技能'!$B$11,(H81-J81)*'規則與技能'!$B$11),L81))</x:f>
        <x:v>4</x:v>
      </x:c>
      <x:c r="N81" s="2" t="n">
        <x:v>1</x:v>
      </x:c>
      <x:c r="O81" s="2" t="str">
        <x:v>炸區</x:v>
      </x:c>
      <x:c r="P81" s="11" t="str"/>
    </x:row>
    <x:row r="82" ht="34" customHeight="1">
      <x:c r="A82" s="12" t="n">
        <x:v>46285</x:v>
      </x:c>
      <x:c r="B82" s="2" t="str">
        <x:v>日</x:v>
      </x:c>
      <x:c r="C82" s="2" t="str">
        <x:v>Scarlett</x:v>
      </x:c>
      <x:c r="D82" s="2" t="str">
        <x:v>工讀</x:v>
      </x:c>
      <x:c r="E82" s="2" t="str">
        <x:v>預排</x:v>
      </x:c>
      <x:c r="F82" s="2" t="str">
        <x:v>整天11:30</x:v>
      </x:c>
      <x:c r="G82" s="15" t="n">
        <x:v>0.4791666666666667</x:v>
      </x:c>
      <x:c r="H82" s="15" t="n">
        <x:v>0.8958333333333334</x:v>
      </x:c>
      <x:c r="I82" s="15" t="n">
        <x:v>0.6041666666666666</x:v>
      </x:c>
      <x:c r="J82" s="15" t="n">
        <x:v>0.6875</x:v>
      </x:c>
      <x:c r="K82" s="14" t="n">
        <x:f>IF(COUNT(I82:J82)=2,(J82-I82)*'規則與技能'!$B$11,0)</x:f>
        <x:v>2.000000000000001</x:v>
      </x:c>
      <x:c r="L82" s="14" t="n">
        <x:f>IF(COUNT(G82:H82)=2,(H82-G82)*'規則與技能'!$B$11-K82,0)</x:f>
        <x:v>7.999999999999999</x:v>
      </x:c>
      <x:c r="M82" s="14" t="n">
        <x:f>IF(L82=0,0,IF(K82&gt;0,MAX((I82-G82)*'規則與技能'!$B$11,(H82-J82)*'規則與技能'!$B$11),L82))</x:f>
        <x:v>5.000000000000001</x:v>
      </x:c>
      <x:c r="N82" s="2" t="n">
        <x:v>1</x:v>
      </x:c>
      <x:c r="O82" s="2" t="str">
        <x:v>炸區</x:v>
      </x:c>
      <x:c r="P82" s="11" t="str"/>
    </x:row>
  </x:sheetData>
  <x:mergeCells>
    <x:mergeCell ref="A1:P1"/>
    <x:mergeCell ref="A2:P3"/>
  </x:mergeCells>
  <x:conditionalFormatting sqref="M6:M82">
    <x:cfRule type="expression" dxfId="0" priority="1">
      <x:formula>$M6&gt;'規則與技能'!$B$10</x:formula>
    </x:cfRule>
  </x:conditionalFormatting>
  <x:conditionalFormatting sqref="A6:P82">
    <x:cfRule type="expression" dxfId="1" priority="2">
      <x:formula>$F6="晚班17＊"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6" hidden="0" customWidth="1"/>
    <x:col min="12" max="12" width="34" hidden="0" customWidth="1"/>
  </x:cols>
  <x:sheetData>
    <x:row r="1" ht="38" customHeight="1">
      <x:c r="A1" s="4" t="str">
        <x:v>分時人力｜營運參考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7" t="str">
        <x:v>本頁按半小時呈現休息、離峰與收店差異，供主管現場協調；不等同主表11:00～16:00／16:00～21:00的餐期缺口，也不阻擋班表成立。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10" t="str">
        <x:v>日期</x:v>
      </x:c>
      <x:c r="B5" s="10" t="str">
        <x:v>開始</x:v>
      </x:c>
      <x:c r="C5" s="10" t="str">
        <x:v>結束</x:v>
      </x:c>
      <x:c r="D5" s="10" t="str">
        <x:v>需求類型</x:v>
      </x:c>
      <x:c r="E5" s="10" t="str">
        <x:v>最低</x:v>
      </x:c>
      <x:c r="F5" s="10" t="str">
        <x:v>最高</x:v>
      </x:c>
      <x:c r="G5" s="10" t="str">
        <x:v>在崗</x:v>
      </x:c>
      <x:c r="H5" s="10" t="str">
        <x:v>人數缺口</x:v>
      </x:c>
      <x:c r="I5" s="10" t="str">
        <x:v>超額人數</x:v>
      </x:c>
      <x:c r="J5" s="10" t="str">
        <x:v>需求配置缺口</x:v>
      </x:c>
      <x:c r="K5" s="10" t="str">
        <x:v>尖峰未覆蓋崗位</x:v>
      </x:c>
      <x:c r="L5" s="10" t="str">
        <x:v>檢查狀態</x:v>
      </x:c>
    </x:row>
    <x:row r="6" ht="42" customHeight="1">
      <x:c r="A6" s="12" t="n">
        <x:v>46279</x:v>
      </x:c>
      <x:c r="B6" s="13" t="n">
        <x:v>0.4166666666666667</x:v>
      </x:c>
      <x:c r="C6" s="13" t="n">
        <x:v>0.4375</x:v>
      </x:c>
      <x:c r="D6" s="2" t="str">
        <x:v>開店</x:v>
      </x:c>
      <x:c r="E6" s="2" t="n">
        <x:v>1</x:v>
      </x:c>
      <x:c r="F6" s="2" t="n">
        <x:v>1</x:v>
      </x:c>
      <x:c r="G6" s="2" t="n">
        <x:f>IF(AND('班次明細'!$L$6&gt;0,$B6&gt;='班次明細'!$G$6,$C6&lt;='班次明細'!$H$6,OR('班次明細'!$K$6=0,$C6&lt;='班次明細'!$I$6,$B6&gt;='班次明細'!$J$6)),1,0)+IF(AND('班次明細'!$L$13&gt;0,$B6&gt;='班次明細'!$G$13,$C6&lt;='班次明細'!$H$13,OR('班次明細'!$K$13=0,$C6&lt;='班次明細'!$I$13,$B6&gt;='班次明細'!$J$13)),1,0)+IF(AND('班次明細'!$L$20&gt;0,$B6&gt;='班次明細'!$G$20,$C6&lt;='班次明細'!$H$20,OR('班次明細'!$K$20=0,$C6&lt;='班次明細'!$I$20,$B6&gt;='班次明細'!$J$20)),1,0)+IF(AND('班次明細'!$L$27&gt;0,$B6&gt;='班次明細'!$G$27,$C6&lt;='班次明細'!$H$27,OR('班次明細'!$K$27=0,$C6&lt;='班次明細'!$I$27,$B6&gt;='班次明細'!$J$27)),1,0)+IF(AND('班次明細'!$L$34&gt;0,$B6&gt;='班次明細'!$G$34,$C6&lt;='班次明細'!$H$34,OR('班次明細'!$K$34=0,$C6&lt;='班次明細'!$I$34,$B6&gt;='班次明細'!$J$34)),1,0)+IF(AND('班次明細'!$L$41&gt;0,$B6&gt;='班次明細'!$G$41,$C6&lt;='班次明細'!$H$41,OR('班次明細'!$K$41=0,$C6&lt;='班次明細'!$I$41,$B6&gt;='班次明細'!$J$41)),1,0)+IF(AND('班次明細'!$L$48&gt;0,$B6&gt;='班次明細'!$G$48,$C6&lt;='班次明細'!$H$48,OR('班次明細'!$K$48=0,$C6&lt;='班次明細'!$I$48,$B6&gt;='班次明細'!$J$48)),1,0)+IF(AND('班次明細'!$L$55&gt;0,$B6&gt;='班次明細'!$G$55,$C6&lt;='班次明細'!$H$55,OR('班次明細'!$K$55=0,$C6&lt;='班次明細'!$I$55,$B6&gt;='班次明細'!$J$55)),1,0)+IF(AND('班次明細'!$L$62&gt;0,$B6&gt;='班次明細'!$G$62,$C6&lt;='班次明細'!$H$62,OR('班次明細'!$K$62=0,$C6&lt;='班次明細'!$I$62,$B6&gt;='班次明細'!$J$62)),1,0)+IF(AND('班次明細'!$L$69&gt;0,$B6&gt;='班次明細'!$G$69,$C6&lt;='班次明細'!$H$69,OR('班次明細'!$K$69=0,$C6&lt;='班次明細'!$I$69,$B6&gt;='班次明細'!$J$69)),1,0)+IF(AND('班次明細'!$L$76&gt;0,$B6&gt;='班次明細'!$G$76,$C6&lt;='班次明細'!$H$76,OR('班次明細'!$K$76=0,$C6&lt;='班次明細'!$I$76,$B6&gt;='班次明細'!$J$76)),1,0)</x:f>
        <x:v>1</x:v>
      </x:c>
      <x:c r="H6" s="2" t="n">
        <x:f>MAX(0,E6-G6)</x:f>
        <x:v>0</x:v>
      </x:c>
      <x:c r="I6" s="2" t="n">
        <x:f>IF(F6="",0,MAX(0,G6-F6))</x:f>
        <x:v>0</x:v>
      </x:c>
      <x:c r="J6" s="2" t="n">
        <x:v>0</x:v>
      </x:c>
      <x:c r="K6" s="11" t="str"/>
      <x:c r="L6" s="11" t="str">
        <x:f>IF(OR(H6&gt;0,J6&gt;0),"營運參考／主管現場協調",IF(I6&gt;0,"營運參考／主管現場協調","本段人力足夠"))</x:f>
        <x:v>本段人力足夠</x:v>
      </x:c>
    </x:row>
    <x:row r="7" ht="42" customHeight="1">
      <x:c r="A7" s="12" t="n">
        <x:v>46279</x:v>
      </x:c>
      <x:c r="B7" s="13" t="n">
        <x:v>0.4375</x:v>
      </x:c>
      <x:c r="C7" s="13" t="n">
        <x:v>0.4583333333333333</x:v>
      </x:c>
      <x:c r="D7" s="2" t="str">
        <x:v>開店</x:v>
      </x:c>
      <x:c r="E7" s="2" t="n">
        <x:v>1</x:v>
      </x:c>
      <x:c r="F7" s="2" t="n">
        <x:v>1</x:v>
      </x:c>
      <x:c r="G7" s="2" t="n">
        <x:f>IF(AND('班次明細'!$L$6&gt;0,$B7&gt;='班次明細'!$G$6,$C7&lt;='班次明細'!$H$6,OR('班次明細'!$K$6=0,$C7&lt;='班次明細'!$I$6,$B7&gt;='班次明細'!$J$6)),1,0)+IF(AND('班次明細'!$L$13&gt;0,$B7&gt;='班次明細'!$G$13,$C7&lt;='班次明細'!$H$13,OR('班次明細'!$K$13=0,$C7&lt;='班次明細'!$I$13,$B7&gt;='班次明細'!$J$13)),1,0)+IF(AND('班次明細'!$L$20&gt;0,$B7&gt;='班次明細'!$G$20,$C7&lt;='班次明細'!$H$20,OR('班次明細'!$K$20=0,$C7&lt;='班次明細'!$I$20,$B7&gt;='班次明細'!$J$20)),1,0)+IF(AND('班次明細'!$L$27&gt;0,$B7&gt;='班次明細'!$G$27,$C7&lt;='班次明細'!$H$27,OR('班次明細'!$K$27=0,$C7&lt;='班次明細'!$I$27,$B7&gt;='班次明細'!$J$27)),1,0)+IF(AND('班次明細'!$L$34&gt;0,$B7&gt;='班次明細'!$G$34,$C7&lt;='班次明細'!$H$34,OR('班次明細'!$K$34=0,$C7&lt;='班次明細'!$I$34,$B7&gt;='班次明細'!$J$34)),1,0)+IF(AND('班次明細'!$L$41&gt;0,$B7&gt;='班次明細'!$G$41,$C7&lt;='班次明細'!$H$41,OR('班次明細'!$K$41=0,$C7&lt;='班次明細'!$I$41,$B7&gt;='班次明細'!$J$41)),1,0)+IF(AND('班次明細'!$L$48&gt;0,$B7&gt;='班次明細'!$G$48,$C7&lt;='班次明細'!$H$48,OR('班次明細'!$K$48=0,$C7&lt;='班次明細'!$I$48,$B7&gt;='班次明細'!$J$48)),1,0)+IF(AND('班次明細'!$L$55&gt;0,$B7&gt;='班次明細'!$G$55,$C7&lt;='班次明細'!$H$55,OR('班次明細'!$K$55=0,$C7&lt;='班次明細'!$I$55,$B7&gt;='班次明細'!$J$55)),1,0)+IF(AND('班次明細'!$L$62&gt;0,$B7&gt;='班次明細'!$G$62,$C7&lt;='班次明細'!$H$62,OR('班次明細'!$K$62=0,$C7&lt;='班次明細'!$I$62,$B7&gt;='班次明細'!$J$62)),1,0)+IF(AND('班次明細'!$L$69&gt;0,$B7&gt;='班次明細'!$G$69,$C7&lt;='班次明細'!$H$69,OR('班次明細'!$K$69=0,$C7&lt;='班次明細'!$I$69,$B7&gt;='班次明細'!$J$69)),1,0)+IF(AND('班次明細'!$L$76&gt;0,$B7&gt;='班次明細'!$G$76,$C7&lt;='班次明細'!$H$76,OR('班次明細'!$K$76=0,$C7&lt;='班次明細'!$I$76,$B7&gt;='班次明細'!$J$76)),1,0)</x:f>
        <x:v>1</x:v>
      </x:c>
      <x:c r="H7" s="2" t="n">
        <x:f>MAX(0,E7-G7)</x:f>
        <x:v>0</x:v>
      </x:c>
      <x:c r="I7" s="2" t="n">
        <x:f>IF(F7="",0,MAX(0,G7-F7))</x:f>
        <x:v>0</x:v>
      </x:c>
      <x:c r="J7" s="2" t="n">
        <x:v>0</x:v>
      </x:c>
      <x:c r="K7" s="11" t="str"/>
      <x:c r="L7" s="11" t="str">
        <x:f>IF(OR(H7&gt;0,J7&gt;0),"營運參考／主管現場協調",IF(I7&gt;0,"營運參考／主管現場協調","本段人力足夠"))</x:f>
        <x:v>本段人力足夠</x:v>
      </x:c>
    </x:row>
    <x:row r="8" ht="42" customHeight="1">
      <x:c r="A8" s="12" t="n">
        <x:v>46279</x:v>
      </x:c>
      <x:c r="B8" s="13" t="n">
        <x:v>0.4583333333333333</x:v>
      </x:c>
      <x:c r="C8" s="13" t="n">
        <x:v>0.4791666666666667</x:v>
      </x:c>
      <x:c r="D8" s="2" t="str">
        <x:v>平日離峰</x:v>
      </x:c>
      <x:c r="E8" s="2" t="n">
        <x:v>2</x:v>
      </x:c>
      <x:c r="F8" s="2"/>
      <x:c r="G8" s="2" t="n">
        <x:f>IF(AND('班次明細'!$L$6&gt;0,$B8&gt;='班次明細'!$G$6,$C8&lt;='班次明細'!$H$6,OR('班次明細'!$K$6=0,$C8&lt;='班次明細'!$I$6,$B8&gt;='班次明細'!$J$6)),1,0)+IF(AND('班次明細'!$L$13&gt;0,$B8&gt;='班次明細'!$G$13,$C8&lt;='班次明細'!$H$13,OR('班次明細'!$K$13=0,$C8&lt;='班次明細'!$I$13,$B8&gt;='班次明細'!$J$13)),1,0)+IF(AND('班次明細'!$L$20&gt;0,$B8&gt;='班次明細'!$G$20,$C8&lt;='班次明細'!$H$20,OR('班次明細'!$K$20=0,$C8&lt;='班次明細'!$I$20,$B8&gt;='班次明細'!$J$20)),1,0)+IF(AND('班次明細'!$L$27&gt;0,$B8&gt;='班次明細'!$G$27,$C8&lt;='班次明細'!$H$27,OR('班次明細'!$K$27=0,$C8&lt;='班次明細'!$I$27,$B8&gt;='班次明細'!$J$27)),1,0)+IF(AND('班次明細'!$L$34&gt;0,$B8&gt;='班次明細'!$G$34,$C8&lt;='班次明細'!$H$34,OR('班次明細'!$K$34=0,$C8&lt;='班次明細'!$I$34,$B8&gt;='班次明細'!$J$34)),1,0)+IF(AND('班次明細'!$L$41&gt;0,$B8&gt;='班次明細'!$G$41,$C8&lt;='班次明細'!$H$41,OR('班次明細'!$K$41=0,$C8&lt;='班次明細'!$I$41,$B8&gt;='班次明細'!$J$41)),1,0)+IF(AND('班次明細'!$L$48&gt;0,$B8&gt;='班次明細'!$G$48,$C8&lt;='班次明細'!$H$48,OR('班次明細'!$K$48=0,$C8&lt;='班次明細'!$I$48,$B8&gt;='班次明細'!$J$48)),1,0)+IF(AND('班次明細'!$L$55&gt;0,$B8&gt;='班次明細'!$G$55,$C8&lt;='班次明細'!$H$55,OR('班次明細'!$K$55=0,$C8&lt;='班次明細'!$I$55,$B8&gt;='班次明細'!$J$55)),1,0)+IF(AND('班次明細'!$L$62&gt;0,$B8&gt;='班次明細'!$G$62,$C8&lt;='班次明細'!$H$62,OR('班次明細'!$K$62=0,$C8&lt;='班次明細'!$I$62,$B8&gt;='班次明細'!$J$62)),1,0)+IF(AND('班次明細'!$L$69&gt;0,$B8&gt;='班次明細'!$G$69,$C8&lt;='班次明細'!$H$69,OR('班次明細'!$K$69=0,$C8&lt;='班次明細'!$I$69,$B8&gt;='班次明細'!$J$69)),1,0)+IF(AND('班次明細'!$L$76&gt;0,$B8&gt;='班次明細'!$G$76,$C8&lt;='班次明細'!$H$76,OR('班次明細'!$K$76=0,$C8&lt;='班次明細'!$I$76,$B8&gt;='班次明細'!$J$76)),1,0)</x:f>
        <x:v>3</x:v>
      </x:c>
      <x:c r="H8" s="2" t="n">
        <x:f>MAX(0,E8-G8)</x:f>
        <x:v>0</x:v>
      </x:c>
      <x:c r="I8" s="2" t="n">
        <x:f>IF(F8="",0,MAX(0,G8-F8))</x:f>
        <x:v>0</x:v>
      </x:c>
      <x:c r="J8" s="2" t="n">
        <x:v>0</x:v>
      </x:c>
      <x:c r="K8" s="11" t="str"/>
      <x:c r="L8" s="11" t="str">
        <x:f>IF(OR(H8&gt;0,J8&gt;0),"營運參考／主管現場協調",IF(I8&gt;0,"營運參考／主管現場協調","本段人力足夠"))</x:f>
        <x:v>本段人力足夠</x:v>
      </x:c>
    </x:row>
    <x:row r="9" ht="42" customHeight="1">
      <x:c r="A9" s="12" t="n">
        <x:v>46279</x:v>
      </x:c>
      <x:c r="B9" s="13" t="n">
        <x:v>0.4791666666666667</x:v>
      </x:c>
      <x:c r="C9" s="13" t="n">
        <x:v>0.5</x:v>
      </x:c>
      <x:c r="D9" s="2" t="str">
        <x:v>平日離峰</x:v>
      </x:c>
      <x:c r="E9" s="2" t="n">
        <x:v>2</x:v>
      </x:c>
      <x:c r="F9" s="2"/>
      <x:c r="G9" s="2" t="n">
        <x:f>IF(AND('班次明細'!$L$6&gt;0,$B9&gt;='班次明細'!$G$6,$C9&lt;='班次明細'!$H$6,OR('班次明細'!$K$6=0,$C9&lt;='班次明細'!$I$6,$B9&gt;='班次明細'!$J$6)),1,0)+IF(AND('班次明細'!$L$13&gt;0,$B9&gt;='班次明細'!$G$13,$C9&lt;='班次明細'!$H$13,OR('班次明細'!$K$13=0,$C9&lt;='班次明細'!$I$13,$B9&gt;='班次明細'!$J$13)),1,0)+IF(AND('班次明細'!$L$20&gt;0,$B9&gt;='班次明細'!$G$20,$C9&lt;='班次明細'!$H$20,OR('班次明細'!$K$20=0,$C9&lt;='班次明細'!$I$20,$B9&gt;='班次明細'!$J$20)),1,0)+IF(AND('班次明細'!$L$27&gt;0,$B9&gt;='班次明細'!$G$27,$C9&lt;='班次明細'!$H$27,OR('班次明細'!$K$27=0,$C9&lt;='班次明細'!$I$27,$B9&gt;='班次明細'!$J$27)),1,0)+IF(AND('班次明細'!$L$34&gt;0,$B9&gt;='班次明細'!$G$34,$C9&lt;='班次明細'!$H$34,OR('班次明細'!$K$34=0,$C9&lt;='班次明細'!$I$34,$B9&gt;='班次明細'!$J$34)),1,0)+IF(AND('班次明細'!$L$41&gt;0,$B9&gt;='班次明細'!$G$41,$C9&lt;='班次明細'!$H$41,OR('班次明細'!$K$41=0,$C9&lt;='班次明細'!$I$41,$B9&gt;='班次明細'!$J$41)),1,0)+IF(AND('班次明細'!$L$48&gt;0,$B9&gt;='班次明細'!$G$48,$C9&lt;='班次明細'!$H$48,OR('班次明細'!$K$48=0,$C9&lt;='班次明細'!$I$48,$B9&gt;='班次明細'!$J$48)),1,0)+IF(AND('班次明細'!$L$55&gt;0,$B9&gt;='班次明細'!$G$55,$C9&lt;='班次明細'!$H$55,OR('班次明細'!$K$55=0,$C9&lt;='班次明細'!$I$55,$B9&gt;='班次明細'!$J$55)),1,0)+IF(AND('班次明細'!$L$62&gt;0,$B9&gt;='班次明細'!$G$62,$C9&lt;='班次明細'!$H$62,OR('班次明細'!$K$62=0,$C9&lt;='班次明細'!$I$62,$B9&gt;='班次明細'!$J$62)),1,0)+IF(AND('班次明細'!$L$69&gt;0,$B9&gt;='班次明細'!$G$69,$C9&lt;='班次明細'!$H$69,OR('班次明細'!$K$69=0,$C9&lt;='班次明細'!$I$69,$B9&gt;='班次明細'!$J$69)),1,0)+IF(AND('班次明細'!$L$76&gt;0,$B9&gt;='班次明細'!$G$76,$C9&lt;='班次明細'!$H$76,OR('班次明細'!$K$76=0,$C9&lt;='班次明細'!$I$76,$B9&gt;='班次明細'!$J$76)),1,0)</x:f>
        <x:v>4</x:v>
      </x:c>
      <x:c r="H9" s="2" t="n">
        <x:f>MAX(0,E9-G9)</x:f>
        <x:v>0</x:v>
      </x:c>
      <x:c r="I9" s="2" t="n">
        <x:f>IF(F9="",0,MAX(0,G9-F9))</x:f>
        <x:v>0</x:v>
      </x:c>
      <x:c r="J9" s="2" t="n">
        <x:v>0</x:v>
      </x:c>
      <x:c r="K9" s="11" t="str"/>
      <x:c r="L9" s="11" t="str">
        <x:f>IF(OR(H9&gt;0,J9&gt;0),"營運參考／主管現場協調",IF(I9&gt;0,"營運參考／主管現場協調","本段人力足夠"))</x:f>
        <x:v>本段人力足夠</x:v>
      </x:c>
    </x:row>
    <x:row r="10" ht="42" customHeight="1">
      <x:c r="A10" s="12" t="n">
        <x:v>46279</x:v>
      </x:c>
      <x:c r="B10" s="13" t="n">
        <x:v>0.5</x:v>
      </x:c>
      <x:c r="C10" s="13" t="n">
        <x:v>0.5208333333333334</x:v>
      </x:c>
      <x:c r="D10" s="2" t="str">
        <x:v>平日午峰</x:v>
      </x:c>
      <x:c r="E10" s="2" t="n">
        <x:v>4</x:v>
      </x:c>
      <x:c r="F10" s="2" t="n">
        <x:v>4</x:v>
      </x:c>
      <x:c r="G10" s="2" t="n">
        <x:f>IF(AND('班次明細'!$L$6&gt;0,$B10&gt;='班次明細'!$G$6,$C10&lt;='班次明細'!$H$6,OR('班次明細'!$K$6=0,$C10&lt;='班次明細'!$I$6,$B10&gt;='班次明細'!$J$6)),1,0)+IF(AND('班次明細'!$L$13&gt;0,$B10&gt;='班次明細'!$G$13,$C10&lt;='班次明細'!$H$13,OR('班次明細'!$K$13=0,$C10&lt;='班次明細'!$I$13,$B10&gt;='班次明細'!$J$13)),1,0)+IF(AND('班次明細'!$L$20&gt;0,$B10&gt;='班次明細'!$G$20,$C10&lt;='班次明細'!$H$20,OR('班次明細'!$K$20=0,$C10&lt;='班次明細'!$I$20,$B10&gt;='班次明細'!$J$20)),1,0)+IF(AND('班次明細'!$L$27&gt;0,$B10&gt;='班次明細'!$G$27,$C10&lt;='班次明細'!$H$27,OR('班次明細'!$K$27=0,$C10&lt;='班次明細'!$I$27,$B10&gt;='班次明細'!$J$27)),1,0)+IF(AND('班次明細'!$L$34&gt;0,$B10&gt;='班次明細'!$G$34,$C10&lt;='班次明細'!$H$34,OR('班次明細'!$K$34=0,$C10&lt;='班次明細'!$I$34,$B10&gt;='班次明細'!$J$34)),1,0)+IF(AND('班次明細'!$L$41&gt;0,$B10&gt;='班次明細'!$G$41,$C10&lt;='班次明細'!$H$41,OR('班次明細'!$K$41=0,$C10&lt;='班次明細'!$I$41,$B10&gt;='班次明細'!$J$41)),1,0)+IF(AND('班次明細'!$L$48&gt;0,$B10&gt;='班次明細'!$G$48,$C10&lt;='班次明細'!$H$48,OR('班次明細'!$K$48=0,$C10&lt;='班次明細'!$I$48,$B10&gt;='班次明細'!$J$48)),1,0)+IF(AND('班次明細'!$L$55&gt;0,$B10&gt;='班次明細'!$G$55,$C10&lt;='班次明細'!$H$55,OR('班次明細'!$K$55=0,$C10&lt;='班次明細'!$I$55,$B10&gt;='班次明細'!$J$55)),1,0)+IF(AND('班次明細'!$L$62&gt;0,$B10&gt;='班次明細'!$G$62,$C10&lt;='班次明細'!$H$62,OR('班次明細'!$K$62=0,$C10&lt;='班次明細'!$I$62,$B10&gt;='班次明細'!$J$62)),1,0)+IF(AND('班次明細'!$L$69&gt;0,$B10&gt;='班次明細'!$G$69,$C10&lt;='班次明細'!$H$69,OR('班次明細'!$K$69=0,$C10&lt;='班次明細'!$I$69,$B10&gt;='班次明細'!$J$69)),1,0)+IF(AND('班次明細'!$L$76&gt;0,$B10&gt;='班次明細'!$G$76,$C10&lt;='班次明細'!$H$76,OR('班次明細'!$K$76=0,$C10&lt;='班次明細'!$I$76,$B10&gt;='班次明細'!$J$76)),1,0)</x:f>
        <x:v>4</x:v>
      </x:c>
      <x:c r="H10" s="2" t="n">
        <x:f>MAX(0,E10-G10)</x:f>
        <x:v>0</x:v>
      </x:c>
      <x:c r="I10" s="2" t="n">
        <x:f>IF(F10="",0,MAX(0,G10-F10))</x:f>
        <x:v>0</x:v>
      </x:c>
      <x:c r="J10" s="2" t="n">
        <x:v>0</x:v>
      </x:c>
      <x:c r="K10" s="11" t="str"/>
      <x:c r="L10" s="11" t="str">
        <x:f>IF(OR(H10&gt;0,J10&gt;0),"營運參考／主管現場協調",IF(I10&gt;0,"營運參考／主管現場協調","本段人力足夠"))</x:f>
        <x:v>本段人力足夠</x:v>
      </x:c>
    </x:row>
    <x:row r="11" ht="42" customHeight="1">
      <x:c r="A11" s="12" t="n">
        <x:v>46279</x:v>
      </x:c>
      <x:c r="B11" s="13" t="n">
        <x:v>0.5208333333333334</x:v>
      </x:c>
      <x:c r="C11" s="13" t="n">
        <x:v>0.5416666666666666</x:v>
      </x:c>
      <x:c r="D11" s="2" t="str">
        <x:v>平日午峰</x:v>
      </x:c>
      <x:c r="E11" s="2" t="n">
        <x:v>4</x:v>
      </x:c>
      <x:c r="F11" s="2" t="n">
        <x:v>4</x:v>
      </x:c>
      <x:c r="G11" s="2" t="n">
        <x:f>IF(AND('班次明細'!$L$6&gt;0,$B11&gt;='班次明細'!$G$6,$C11&lt;='班次明細'!$H$6,OR('班次明細'!$K$6=0,$C11&lt;='班次明細'!$I$6,$B11&gt;='班次明細'!$J$6)),1,0)+IF(AND('班次明細'!$L$13&gt;0,$B11&gt;='班次明細'!$G$13,$C11&lt;='班次明細'!$H$13,OR('班次明細'!$K$13=0,$C11&lt;='班次明細'!$I$13,$B11&gt;='班次明細'!$J$13)),1,0)+IF(AND('班次明細'!$L$20&gt;0,$B11&gt;='班次明細'!$G$20,$C11&lt;='班次明細'!$H$20,OR('班次明細'!$K$20=0,$C11&lt;='班次明細'!$I$20,$B11&gt;='班次明細'!$J$20)),1,0)+IF(AND('班次明細'!$L$27&gt;0,$B11&gt;='班次明細'!$G$27,$C11&lt;='班次明細'!$H$27,OR('班次明細'!$K$27=0,$C11&lt;='班次明細'!$I$27,$B11&gt;='班次明細'!$J$27)),1,0)+IF(AND('班次明細'!$L$34&gt;0,$B11&gt;='班次明細'!$G$34,$C11&lt;='班次明細'!$H$34,OR('班次明細'!$K$34=0,$C11&lt;='班次明細'!$I$34,$B11&gt;='班次明細'!$J$34)),1,0)+IF(AND('班次明細'!$L$41&gt;0,$B11&gt;='班次明細'!$G$41,$C11&lt;='班次明細'!$H$41,OR('班次明細'!$K$41=0,$C11&lt;='班次明細'!$I$41,$B11&gt;='班次明細'!$J$41)),1,0)+IF(AND('班次明細'!$L$48&gt;0,$B11&gt;='班次明細'!$G$48,$C11&lt;='班次明細'!$H$48,OR('班次明細'!$K$48=0,$C11&lt;='班次明細'!$I$48,$B11&gt;='班次明細'!$J$48)),1,0)+IF(AND('班次明細'!$L$55&gt;0,$B11&gt;='班次明細'!$G$55,$C11&lt;='班次明細'!$H$55,OR('班次明細'!$K$55=0,$C11&lt;='班次明細'!$I$55,$B11&gt;='班次明細'!$J$55)),1,0)+IF(AND('班次明細'!$L$62&gt;0,$B11&gt;='班次明細'!$G$62,$C11&lt;='班次明細'!$H$62,OR('班次明細'!$K$62=0,$C11&lt;='班次明細'!$I$62,$B11&gt;='班次明細'!$J$62)),1,0)+IF(AND('班次明細'!$L$69&gt;0,$B11&gt;='班次明細'!$G$69,$C11&lt;='班次明細'!$H$69,OR('班次明細'!$K$69=0,$C11&lt;='班次明細'!$I$69,$B11&gt;='班次明細'!$J$69)),1,0)+IF(AND('班次明細'!$L$76&gt;0,$B11&gt;='班次明細'!$G$76,$C11&lt;='班次明細'!$H$76,OR('班次明細'!$K$76=0,$C11&lt;='班次明細'!$I$76,$B11&gt;='班次明細'!$J$76)),1,0)</x:f>
        <x:v>4</x:v>
      </x:c>
      <x:c r="H11" s="2" t="n">
        <x:f>MAX(0,E11-G11)</x:f>
        <x:v>0</x:v>
      </x:c>
      <x:c r="I11" s="2" t="n">
        <x:f>IF(F11="",0,MAX(0,G11-F11))</x:f>
        <x:v>0</x:v>
      </x:c>
      <x:c r="J11" s="2" t="n">
        <x:v>0</x:v>
      </x:c>
      <x:c r="K11" s="11" t="str"/>
      <x:c r="L11" s="11" t="str">
        <x:f>IF(OR(H11&gt;0,J11&gt;0),"營運參考／主管現場協調",IF(I11&gt;0,"營運參考／主管現場協調","本段人力足夠"))</x:f>
        <x:v>本段人力足夠</x:v>
      </x:c>
    </x:row>
    <x:row r="12" ht="42" customHeight="1">
      <x:c r="A12" s="12" t="n">
        <x:v>46279</x:v>
      </x:c>
      <x:c r="B12" s="13" t="n">
        <x:v>0.5416666666666666</x:v>
      </x:c>
      <x:c r="C12" s="13" t="n">
        <x:v>0.5625</x:v>
      </x:c>
      <x:c r="D12" s="2" t="str">
        <x:v>平日午峰</x:v>
      </x:c>
      <x:c r="E12" s="2" t="n">
        <x:v>4</x:v>
      </x:c>
      <x:c r="F12" s="2" t="n">
        <x:v>4</x:v>
      </x:c>
      <x:c r="G12" s="2" t="n">
        <x:f>IF(AND('班次明細'!$L$6&gt;0,$B12&gt;='班次明細'!$G$6,$C12&lt;='班次明細'!$H$6,OR('班次明細'!$K$6=0,$C12&lt;='班次明細'!$I$6,$B12&gt;='班次明細'!$J$6)),1,0)+IF(AND('班次明細'!$L$13&gt;0,$B12&gt;='班次明細'!$G$13,$C12&lt;='班次明細'!$H$13,OR('班次明細'!$K$13=0,$C12&lt;='班次明細'!$I$13,$B12&gt;='班次明細'!$J$13)),1,0)+IF(AND('班次明細'!$L$20&gt;0,$B12&gt;='班次明細'!$G$20,$C12&lt;='班次明細'!$H$20,OR('班次明細'!$K$20=0,$C12&lt;='班次明細'!$I$20,$B12&gt;='班次明細'!$J$20)),1,0)+IF(AND('班次明細'!$L$27&gt;0,$B12&gt;='班次明細'!$G$27,$C12&lt;='班次明細'!$H$27,OR('班次明細'!$K$27=0,$C12&lt;='班次明細'!$I$27,$B12&gt;='班次明細'!$J$27)),1,0)+IF(AND('班次明細'!$L$34&gt;0,$B12&gt;='班次明細'!$G$34,$C12&lt;='班次明細'!$H$34,OR('班次明細'!$K$34=0,$C12&lt;='班次明細'!$I$34,$B12&gt;='班次明細'!$J$34)),1,0)+IF(AND('班次明細'!$L$41&gt;0,$B12&gt;='班次明細'!$G$41,$C12&lt;='班次明細'!$H$41,OR('班次明細'!$K$41=0,$C12&lt;='班次明細'!$I$41,$B12&gt;='班次明細'!$J$41)),1,0)+IF(AND('班次明細'!$L$48&gt;0,$B12&gt;='班次明細'!$G$48,$C12&lt;='班次明細'!$H$48,OR('班次明細'!$K$48=0,$C12&lt;='班次明細'!$I$48,$B12&gt;='班次明細'!$J$48)),1,0)+IF(AND('班次明細'!$L$55&gt;0,$B12&gt;='班次明細'!$G$55,$C12&lt;='班次明細'!$H$55,OR('班次明細'!$K$55=0,$C12&lt;='班次明細'!$I$55,$B12&gt;='班次明細'!$J$55)),1,0)+IF(AND('班次明細'!$L$62&gt;0,$B12&gt;='班次明細'!$G$62,$C12&lt;='班次明細'!$H$62,OR('班次明細'!$K$62=0,$C12&lt;='班次明細'!$I$62,$B12&gt;='班次明細'!$J$62)),1,0)+IF(AND('班次明細'!$L$69&gt;0,$B12&gt;='班次明細'!$G$69,$C12&lt;='班次明細'!$H$69,OR('班次明細'!$K$69=0,$C12&lt;='班次明細'!$I$69,$B12&gt;='班次明細'!$J$69)),1,0)+IF(AND('班次明細'!$L$76&gt;0,$B12&gt;='班次明細'!$G$76,$C12&lt;='班次明細'!$H$76,OR('班次明細'!$K$76=0,$C12&lt;='班次明細'!$I$76,$B12&gt;='班次明細'!$J$76)),1,0)</x:f>
        <x:v>3</x:v>
      </x:c>
      <x:c r="H12" s="2" t="n">
        <x:f>MAX(0,E12-G12)</x:f>
        <x:v>1</x:v>
      </x:c>
      <x:c r="I12" s="2" t="n">
        <x:f>IF(F12="",0,MAX(0,G12-F12))</x:f>
        <x:v>0</x:v>
      </x:c>
      <x:c r="J12" s="2" t="n">
        <x:v>1</x:v>
      </x:c>
      <x:c r="K12" s="11" t="str">
        <x:v>司爐</x:v>
      </x:c>
      <x:c r="L12" s="11" t="str">
        <x:f>IF(OR(H12&gt;0,J12&gt;0),"營運參考／主管現場協調",IF(I12&gt;0,"營運參考／主管現場協調","本段人力足夠"))</x:f>
        <x:v>營運參考／主管現場協調</x:v>
      </x:c>
    </x:row>
    <x:row r="13" ht="42" customHeight="1">
      <x:c r="A13" s="12" t="n">
        <x:v>46279</x:v>
      </x:c>
      <x:c r="B13" s="13" t="n">
        <x:v>0.5625</x:v>
      </x:c>
      <x:c r="C13" s="13" t="n">
        <x:v>0.5833333333333334</x:v>
      </x:c>
      <x:c r="D13" s="2" t="str">
        <x:v>平日離峰</x:v>
      </x:c>
      <x:c r="E13" s="2" t="n">
        <x:v>2</x:v>
      </x:c>
      <x:c r="F13" s="2"/>
      <x:c r="G13" s="2" t="n">
        <x:f>IF(AND('班次明細'!$L$6&gt;0,$B13&gt;='班次明細'!$G$6,$C13&lt;='班次明細'!$H$6,OR('班次明細'!$K$6=0,$C13&lt;='班次明細'!$I$6,$B13&gt;='班次明細'!$J$6)),1,0)+IF(AND('班次明細'!$L$13&gt;0,$B13&gt;='班次明細'!$G$13,$C13&lt;='班次明細'!$H$13,OR('班次明細'!$K$13=0,$C13&lt;='班次明細'!$I$13,$B13&gt;='班次明細'!$J$13)),1,0)+IF(AND('班次明細'!$L$20&gt;0,$B13&gt;='班次明細'!$G$20,$C13&lt;='班次明細'!$H$20,OR('班次明細'!$K$20=0,$C13&lt;='班次明細'!$I$20,$B13&gt;='班次明細'!$J$20)),1,0)+IF(AND('班次明細'!$L$27&gt;0,$B13&gt;='班次明細'!$G$27,$C13&lt;='班次明細'!$H$27,OR('班次明細'!$K$27=0,$C13&lt;='班次明細'!$I$27,$B13&gt;='班次明細'!$J$27)),1,0)+IF(AND('班次明細'!$L$34&gt;0,$B13&gt;='班次明細'!$G$34,$C13&lt;='班次明細'!$H$34,OR('班次明細'!$K$34=0,$C13&lt;='班次明細'!$I$34,$B13&gt;='班次明細'!$J$34)),1,0)+IF(AND('班次明細'!$L$41&gt;0,$B13&gt;='班次明細'!$G$41,$C13&lt;='班次明細'!$H$41,OR('班次明細'!$K$41=0,$C13&lt;='班次明細'!$I$41,$B13&gt;='班次明細'!$J$41)),1,0)+IF(AND('班次明細'!$L$48&gt;0,$B13&gt;='班次明細'!$G$48,$C13&lt;='班次明細'!$H$48,OR('班次明細'!$K$48=0,$C13&lt;='班次明細'!$I$48,$B13&gt;='班次明細'!$J$48)),1,0)+IF(AND('班次明細'!$L$55&gt;0,$B13&gt;='班次明細'!$G$55,$C13&lt;='班次明細'!$H$55,OR('班次明細'!$K$55=0,$C13&lt;='班次明細'!$I$55,$B13&gt;='班次明細'!$J$55)),1,0)+IF(AND('班次明細'!$L$62&gt;0,$B13&gt;='班次明細'!$G$62,$C13&lt;='班次明細'!$H$62,OR('班次明細'!$K$62=0,$C13&lt;='班次明細'!$I$62,$B13&gt;='班次明細'!$J$62)),1,0)+IF(AND('班次明細'!$L$69&gt;0,$B13&gt;='班次明細'!$G$69,$C13&lt;='班次明細'!$H$69,OR('班次明細'!$K$69=0,$C13&lt;='班次明細'!$I$69,$B13&gt;='班次明細'!$J$69)),1,0)+IF(AND('班次明細'!$L$76&gt;0,$B13&gt;='班次明細'!$G$76,$C13&lt;='班次明細'!$H$76,OR('班次明細'!$K$76=0,$C13&lt;='班次明細'!$I$76,$B13&gt;='班次明細'!$J$76)),1,0)</x:f>
        <x:v>4</x:v>
      </x:c>
      <x:c r="H13" s="2" t="n">
        <x:f>MAX(0,E13-G13)</x:f>
        <x:v>0</x:v>
      </x:c>
      <x:c r="I13" s="2" t="n">
        <x:f>IF(F13="",0,MAX(0,G13-F13))</x:f>
        <x:v>0</x:v>
      </x:c>
      <x:c r="J13" s="2" t="n">
        <x:v>0</x:v>
      </x:c>
      <x:c r="K13" s="11" t="str"/>
      <x:c r="L13" s="11" t="str">
        <x:f>IF(OR(H13&gt;0,J13&gt;0),"營運參考／主管現場協調",IF(I13&gt;0,"營運參考／主管現場協調","本段人力足夠"))</x:f>
        <x:v>本段人力足夠</x:v>
      </x:c>
    </x:row>
    <x:row r="14" ht="42" customHeight="1">
      <x:c r="A14" s="12" t="n">
        <x:v>46279</x:v>
      </x:c>
      <x:c r="B14" s="13" t="n">
        <x:v>0.5833333333333334</x:v>
      </x:c>
      <x:c r="C14" s="13" t="n">
        <x:v>0.6041666666666666</x:v>
      </x:c>
      <x:c r="D14" s="2" t="str">
        <x:v>平日離峰</x:v>
      </x:c>
      <x:c r="E14" s="2" t="n">
        <x:v>2</x:v>
      </x:c>
      <x:c r="F14" s="2"/>
      <x:c r="G14" s="2" t="n">
        <x:f>IF(AND('班次明細'!$L$6&gt;0,$B14&gt;='班次明細'!$G$6,$C14&lt;='班次明細'!$H$6,OR('班次明細'!$K$6=0,$C14&lt;='班次明細'!$I$6,$B14&gt;='班次明細'!$J$6)),1,0)+IF(AND('班次明細'!$L$13&gt;0,$B14&gt;='班次明細'!$G$13,$C14&lt;='班次明細'!$H$13,OR('班次明細'!$K$13=0,$C14&lt;='班次明細'!$I$13,$B14&gt;='班次明細'!$J$13)),1,0)+IF(AND('班次明細'!$L$20&gt;0,$B14&gt;='班次明細'!$G$20,$C14&lt;='班次明細'!$H$20,OR('班次明細'!$K$20=0,$C14&lt;='班次明細'!$I$20,$B14&gt;='班次明細'!$J$20)),1,0)+IF(AND('班次明細'!$L$27&gt;0,$B14&gt;='班次明細'!$G$27,$C14&lt;='班次明細'!$H$27,OR('班次明細'!$K$27=0,$C14&lt;='班次明細'!$I$27,$B14&gt;='班次明細'!$J$27)),1,0)+IF(AND('班次明細'!$L$34&gt;0,$B14&gt;='班次明細'!$G$34,$C14&lt;='班次明細'!$H$34,OR('班次明細'!$K$34=0,$C14&lt;='班次明細'!$I$34,$B14&gt;='班次明細'!$J$34)),1,0)+IF(AND('班次明細'!$L$41&gt;0,$B14&gt;='班次明細'!$G$41,$C14&lt;='班次明細'!$H$41,OR('班次明細'!$K$41=0,$C14&lt;='班次明細'!$I$41,$B14&gt;='班次明細'!$J$41)),1,0)+IF(AND('班次明細'!$L$48&gt;0,$B14&gt;='班次明細'!$G$48,$C14&lt;='班次明細'!$H$48,OR('班次明細'!$K$48=0,$C14&lt;='班次明細'!$I$48,$B14&gt;='班次明細'!$J$48)),1,0)+IF(AND('班次明細'!$L$55&gt;0,$B14&gt;='班次明細'!$G$55,$C14&lt;='班次明細'!$H$55,OR('班次明細'!$K$55=0,$C14&lt;='班次明細'!$I$55,$B14&gt;='班次明細'!$J$55)),1,0)+IF(AND('班次明細'!$L$62&gt;0,$B14&gt;='班次明細'!$G$62,$C14&lt;='班次明細'!$H$62,OR('班次明細'!$K$62=0,$C14&lt;='班次明細'!$I$62,$B14&gt;='班次明細'!$J$62)),1,0)+IF(AND('班次明細'!$L$69&gt;0,$B14&gt;='班次明細'!$G$69,$C14&lt;='班次明細'!$H$69,OR('班次明細'!$K$69=0,$C14&lt;='班次明細'!$I$69,$B14&gt;='班次明細'!$J$69)),1,0)+IF(AND('班次明細'!$L$76&gt;0,$B14&gt;='班次明細'!$G$76,$C14&lt;='班次明細'!$H$76,OR('班次明細'!$K$76=0,$C14&lt;='班次明細'!$I$76,$B14&gt;='班次明細'!$J$76)),1,0)</x:f>
        <x:v>4</x:v>
      </x:c>
      <x:c r="H14" s="2" t="n">
        <x:f>MAX(0,E14-G14)</x:f>
        <x:v>0</x:v>
      </x:c>
      <x:c r="I14" s="2" t="n">
        <x:f>IF(F14="",0,MAX(0,G14-F14))</x:f>
        <x:v>0</x:v>
      </x:c>
      <x:c r="J14" s="2" t="n">
        <x:v>0</x:v>
      </x:c>
      <x:c r="K14" s="11" t="str"/>
      <x:c r="L14" s="11" t="str">
        <x:f>IF(OR(H14&gt;0,J14&gt;0),"營運參考／主管現場協調",IF(I14&gt;0,"營運參考／主管現場協調","本段人力足夠"))</x:f>
        <x:v>本段人力足夠</x:v>
      </x:c>
    </x:row>
    <x:row r="15" ht="42" customHeight="1">
      <x:c r="A15" s="12" t="n">
        <x:v>46279</x:v>
      </x:c>
      <x:c r="B15" s="13" t="n">
        <x:v>0.6041666666666666</x:v>
      </x:c>
      <x:c r="C15" s="13" t="n">
        <x:v>0.625</x:v>
      </x:c>
      <x:c r="D15" s="2" t="str">
        <x:v>平日離峰</x:v>
      </x:c>
      <x:c r="E15" s="2" t="n">
        <x:v>2</x:v>
      </x:c>
      <x:c r="F15" s="2"/>
      <x:c r="G15" s="2" t="n">
        <x:f>IF(AND('班次明細'!$L$6&gt;0,$B15&gt;='班次明細'!$G$6,$C15&lt;='班次明細'!$H$6,OR('班次明細'!$K$6=0,$C15&lt;='班次明細'!$I$6,$B15&gt;='班次明細'!$J$6)),1,0)+IF(AND('班次明細'!$L$13&gt;0,$B15&gt;='班次明細'!$G$13,$C15&lt;='班次明細'!$H$13,OR('班次明細'!$K$13=0,$C15&lt;='班次明細'!$I$13,$B15&gt;='班次明細'!$J$13)),1,0)+IF(AND('班次明細'!$L$20&gt;0,$B15&gt;='班次明細'!$G$20,$C15&lt;='班次明細'!$H$20,OR('班次明細'!$K$20=0,$C15&lt;='班次明細'!$I$20,$B15&gt;='班次明細'!$J$20)),1,0)+IF(AND('班次明細'!$L$27&gt;0,$B15&gt;='班次明細'!$G$27,$C15&lt;='班次明細'!$H$27,OR('班次明細'!$K$27=0,$C15&lt;='班次明細'!$I$27,$B15&gt;='班次明細'!$J$27)),1,0)+IF(AND('班次明細'!$L$34&gt;0,$B15&gt;='班次明細'!$G$34,$C15&lt;='班次明細'!$H$34,OR('班次明細'!$K$34=0,$C15&lt;='班次明細'!$I$34,$B15&gt;='班次明細'!$J$34)),1,0)+IF(AND('班次明細'!$L$41&gt;0,$B15&gt;='班次明細'!$G$41,$C15&lt;='班次明細'!$H$41,OR('班次明細'!$K$41=0,$C15&lt;='班次明細'!$I$41,$B15&gt;='班次明細'!$J$41)),1,0)+IF(AND('班次明細'!$L$48&gt;0,$B15&gt;='班次明細'!$G$48,$C15&lt;='班次明細'!$H$48,OR('班次明細'!$K$48=0,$C15&lt;='班次明細'!$I$48,$B15&gt;='班次明細'!$J$48)),1,0)+IF(AND('班次明細'!$L$55&gt;0,$B15&gt;='班次明細'!$G$55,$C15&lt;='班次明細'!$H$55,OR('班次明細'!$K$55=0,$C15&lt;='班次明細'!$I$55,$B15&gt;='班次明細'!$J$55)),1,0)+IF(AND('班次明細'!$L$62&gt;0,$B15&gt;='班次明細'!$G$62,$C15&lt;='班次明細'!$H$62,OR('班次明細'!$K$62=0,$C15&lt;='班次明細'!$I$62,$B15&gt;='班次明細'!$J$62)),1,0)+IF(AND('班次明細'!$L$69&gt;0,$B15&gt;='班次明細'!$G$69,$C15&lt;='班次明細'!$H$69,OR('班次明細'!$K$69=0,$C15&lt;='班次明細'!$I$69,$B15&gt;='班次明細'!$J$69)),1,0)+IF(AND('班次明細'!$L$76&gt;0,$B15&gt;='班次明細'!$G$76,$C15&lt;='班次明細'!$H$76,OR('班次明細'!$K$76=0,$C15&lt;='班次明細'!$I$76,$B15&gt;='班次明細'!$J$76)),1,0)</x:f>
        <x:v>4</x:v>
      </x:c>
      <x:c r="H15" s="2" t="n">
        <x:f>MAX(0,E15-G15)</x:f>
        <x:v>0</x:v>
      </x:c>
      <x:c r="I15" s="2" t="n">
        <x:f>IF(F15="",0,MAX(0,G15-F15))</x:f>
        <x:v>0</x:v>
      </x:c>
      <x:c r="J15" s="2" t="n">
        <x:v>0</x:v>
      </x:c>
      <x:c r="K15" s="11" t="str"/>
      <x:c r="L15" s="11" t="str">
        <x:f>IF(OR(H15&gt;0,J15&gt;0),"營運參考／主管現場協調",IF(I15&gt;0,"營運參考／主管現場協調","本段人力足夠"))</x:f>
        <x:v>本段人力足夠</x:v>
      </x:c>
    </x:row>
    <x:row r="16" ht="42" customHeight="1">
      <x:c r="A16" s="12" t="n">
        <x:v>46279</x:v>
      </x:c>
      <x:c r="B16" s="13" t="n">
        <x:v>0.625</x:v>
      </x:c>
      <x:c r="C16" s="13" t="n">
        <x:v>0.6458333333333334</x:v>
      </x:c>
      <x:c r="D16" s="2" t="str">
        <x:v>平日離峰</x:v>
      </x:c>
      <x:c r="E16" s="2" t="n">
        <x:v>2</x:v>
      </x:c>
      <x:c r="F16" s="2"/>
      <x:c r="G16" s="2" t="n">
        <x:f>IF(AND('班次明細'!$L$6&gt;0,$B16&gt;='班次明細'!$G$6,$C16&lt;='班次明細'!$H$6,OR('班次明細'!$K$6=0,$C16&lt;='班次明細'!$I$6,$B16&gt;='班次明細'!$J$6)),1,0)+IF(AND('班次明細'!$L$13&gt;0,$B16&gt;='班次明細'!$G$13,$C16&lt;='班次明細'!$H$13,OR('班次明細'!$K$13=0,$C16&lt;='班次明細'!$I$13,$B16&gt;='班次明細'!$J$13)),1,0)+IF(AND('班次明細'!$L$20&gt;0,$B16&gt;='班次明細'!$G$20,$C16&lt;='班次明細'!$H$20,OR('班次明細'!$K$20=0,$C16&lt;='班次明細'!$I$20,$B16&gt;='班次明細'!$J$20)),1,0)+IF(AND('班次明細'!$L$27&gt;0,$B16&gt;='班次明細'!$G$27,$C16&lt;='班次明細'!$H$27,OR('班次明細'!$K$27=0,$C16&lt;='班次明細'!$I$27,$B16&gt;='班次明細'!$J$27)),1,0)+IF(AND('班次明細'!$L$34&gt;0,$B16&gt;='班次明細'!$G$34,$C16&lt;='班次明細'!$H$34,OR('班次明細'!$K$34=0,$C16&lt;='班次明細'!$I$34,$B16&gt;='班次明細'!$J$34)),1,0)+IF(AND('班次明細'!$L$41&gt;0,$B16&gt;='班次明細'!$G$41,$C16&lt;='班次明細'!$H$41,OR('班次明細'!$K$41=0,$C16&lt;='班次明細'!$I$41,$B16&gt;='班次明細'!$J$41)),1,0)+IF(AND('班次明細'!$L$48&gt;0,$B16&gt;='班次明細'!$G$48,$C16&lt;='班次明細'!$H$48,OR('班次明細'!$K$48=0,$C16&lt;='班次明細'!$I$48,$B16&gt;='班次明細'!$J$48)),1,0)+IF(AND('班次明細'!$L$55&gt;0,$B16&gt;='班次明細'!$G$55,$C16&lt;='班次明細'!$H$55,OR('班次明細'!$K$55=0,$C16&lt;='班次明細'!$I$55,$B16&gt;='班次明細'!$J$55)),1,0)+IF(AND('班次明細'!$L$62&gt;0,$B16&gt;='班次明細'!$G$62,$C16&lt;='班次明細'!$H$62,OR('班次明細'!$K$62=0,$C16&lt;='班次明細'!$I$62,$B16&gt;='班次明細'!$J$62)),1,0)+IF(AND('班次明細'!$L$69&gt;0,$B16&gt;='班次明細'!$G$69,$C16&lt;='班次明細'!$H$69,OR('班次明細'!$K$69=0,$C16&lt;='班次明細'!$I$69,$B16&gt;='班次明細'!$J$69)),1,0)+IF(AND('班次明細'!$L$76&gt;0,$B16&gt;='班次明細'!$G$76,$C16&lt;='班次明細'!$H$76,OR('班次明細'!$K$76=0,$C16&lt;='班次明細'!$I$76,$B16&gt;='班次明細'!$J$76)),1,0)</x:f>
        <x:v>2</x:v>
      </x:c>
      <x:c r="H16" s="2" t="n">
        <x:f>MAX(0,E16-G16)</x:f>
        <x:v>0</x:v>
      </x:c>
      <x:c r="I16" s="2" t="n">
        <x:f>IF(F16="",0,MAX(0,G16-F16))</x:f>
        <x:v>0</x:v>
      </x:c>
      <x:c r="J16" s="2" t="n">
        <x:v>0</x:v>
      </x:c>
      <x:c r="K16" s="11" t="str"/>
      <x:c r="L16" s="11" t="str">
        <x:f>IF(OR(H16&gt;0,J16&gt;0),"營運參考／主管現場協調",IF(I16&gt;0,"營運參考／主管現場協調","本段人力足夠"))</x:f>
        <x:v>本段人力足夠</x:v>
      </x:c>
    </x:row>
    <x:row r="17" ht="42" customHeight="1">
      <x:c r="A17" s="12" t="n">
        <x:v>46279</x:v>
      </x:c>
      <x:c r="B17" s="13" t="n">
        <x:v>0.6458333333333334</x:v>
      </x:c>
      <x:c r="C17" s="13" t="n">
        <x:v>0.6666666666666666</x:v>
      </x:c>
      <x:c r="D17" s="2" t="str">
        <x:v>平日離峰</x:v>
      </x:c>
      <x:c r="E17" s="2" t="n">
        <x:v>2</x:v>
      </x:c>
      <x:c r="F17" s="2"/>
      <x:c r="G17" s="2" t="n">
        <x:f>IF(AND('班次明細'!$L$6&gt;0,$B17&gt;='班次明細'!$G$6,$C17&lt;='班次明細'!$H$6,OR('班次明細'!$K$6=0,$C17&lt;='班次明細'!$I$6,$B17&gt;='班次明細'!$J$6)),1,0)+IF(AND('班次明細'!$L$13&gt;0,$B17&gt;='班次明細'!$G$13,$C17&lt;='班次明細'!$H$13,OR('班次明細'!$K$13=0,$C17&lt;='班次明細'!$I$13,$B17&gt;='班次明細'!$J$13)),1,0)+IF(AND('班次明細'!$L$20&gt;0,$B17&gt;='班次明細'!$G$20,$C17&lt;='班次明細'!$H$20,OR('班次明細'!$K$20=0,$C17&lt;='班次明細'!$I$20,$B17&gt;='班次明細'!$J$20)),1,0)+IF(AND('班次明細'!$L$27&gt;0,$B17&gt;='班次明細'!$G$27,$C17&lt;='班次明細'!$H$27,OR('班次明細'!$K$27=0,$C17&lt;='班次明細'!$I$27,$B17&gt;='班次明細'!$J$27)),1,0)+IF(AND('班次明細'!$L$34&gt;0,$B17&gt;='班次明細'!$G$34,$C17&lt;='班次明細'!$H$34,OR('班次明細'!$K$34=0,$C17&lt;='班次明細'!$I$34,$B17&gt;='班次明細'!$J$34)),1,0)+IF(AND('班次明細'!$L$41&gt;0,$B17&gt;='班次明細'!$G$41,$C17&lt;='班次明細'!$H$41,OR('班次明細'!$K$41=0,$C17&lt;='班次明細'!$I$41,$B17&gt;='班次明細'!$J$41)),1,0)+IF(AND('班次明細'!$L$48&gt;0,$B17&gt;='班次明細'!$G$48,$C17&lt;='班次明細'!$H$48,OR('班次明細'!$K$48=0,$C17&lt;='班次明細'!$I$48,$B17&gt;='班次明細'!$J$48)),1,0)+IF(AND('班次明細'!$L$55&gt;0,$B17&gt;='班次明細'!$G$55,$C17&lt;='班次明細'!$H$55,OR('班次明細'!$K$55=0,$C17&lt;='班次明細'!$I$55,$B17&gt;='班次明細'!$J$55)),1,0)+IF(AND('班次明細'!$L$62&gt;0,$B17&gt;='班次明細'!$G$62,$C17&lt;='班次明細'!$H$62,OR('班次明細'!$K$62=0,$C17&lt;='班次明細'!$I$62,$B17&gt;='班次明細'!$J$62)),1,0)+IF(AND('班次明細'!$L$69&gt;0,$B17&gt;='班次明細'!$G$69,$C17&lt;='班次明細'!$H$69,OR('班次明細'!$K$69=0,$C17&lt;='班次明細'!$I$69,$B17&gt;='班次明細'!$J$69)),1,0)+IF(AND('班次明細'!$L$76&gt;0,$B17&gt;='班次明細'!$G$76,$C17&lt;='班次明細'!$H$76,OR('班次明細'!$K$76=0,$C17&lt;='班次明細'!$I$76,$B17&gt;='班次明細'!$J$76)),1,0)</x:f>
        <x:v>0</x:v>
      </x:c>
      <x:c r="H17" s="2" t="n">
        <x:f>MAX(0,E17-G17)</x:f>
        <x:v>2</x:v>
      </x:c>
      <x:c r="I17" s="2" t="n">
        <x:f>IF(F17="",0,MAX(0,G17-F17))</x:f>
        <x:v>0</x:v>
      </x:c>
      <x:c r="J17" s="2" t="n">
        <x:v>2</x:v>
      </x:c>
      <x:c r="K17" s="11" t="str"/>
      <x:c r="L17" s="11" t="str">
        <x:f>IF(OR(H17&gt;0,J17&gt;0),"營運參考／主管現場協調",IF(I17&gt;0,"營運參考／主管現場協調","本段人力足夠"))</x:f>
        <x:v>營運參考／主管現場協調</x:v>
      </x:c>
    </x:row>
    <x:row r="18" ht="42" customHeight="1">
      <x:c r="A18" s="12" t="n">
        <x:v>46279</x:v>
      </x:c>
      <x:c r="B18" s="13" t="n">
        <x:v>0.6666666666666666</x:v>
      </x:c>
      <x:c r="C18" s="13" t="n">
        <x:v>0.6875</x:v>
      </x:c>
      <x:c r="D18" s="2" t="str">
        <x:v>平日離峰</x:v>
      </x:c>
      <x:c r="E18" s="2" t="n">
        <x:v>2</x:v>
      </x:c>
      <x:c r="F18" s="2"/>
      <x:c r="G18" s="2" t="n">
        <x:f>IF(AND('班次明細'!$L$6&gt;0,$B18&gt;='班次明細'!$G$6,$C18&lt;='班次明細'!$H$6,OR('班次明細'!$K$6=0,$C18&lt;='班次明細'!$I$6,$B18&gt;='班次明細'!$J$6)),1,0)+IF(AND('班次明細'!$L$13&gt;0,$B18&gt;='班次明細'!$G$13,$C18&lt;='班次明細'!$H$13,OR('班次明細'!$K$13=0,$C18&lt;='班次明細'!$I$13,$B18&gt;='班次明細'!$J$13)),1,0)+IF(AND('班次明細'!$L$20&gt;0,$B18&gt;='班次明細'!$G$20,$C18&lt;='班次明細'!$H$20,OR('班次明細'!$K$20=0,$C18&lt;='班次明細'!$I$20,$B18&gt;='班次明細'!$J$20)),1,0)+IF(AND('班次明細'!$L$27&gt;0,$B18&gt;='班次明細'!$G$27,$C18&lt;='班次明細'!$H$27,OR('班次明細'!$K$27=0,$C18&lt;='班次明細'!$I$27,$B18&gt;='班次明細'!$J$27)),1,0)+IF(AND('班次明細'!$L$34&gt;0,$B18&gt;='班次明細'!$G$34,$C18&lt;='班次明細'!$H$34,OR('班次明細'!$K$34=0,$C18&lt;='班次明細'!$I$34,$B18&gt;='班次明細'!$J$34)),1,0)+IF(AND('班次明細'!$L$41&gt;0,$B18&gt;='班次明細'!$G$41,$C18&lt;='班次明細'!$H$41,OR('班次明細'!$K$41=0,$C18&lt;='班次明細'!$I$41,$B18&gt;='班次明細'!$J$41)),1,0)+IF(AND('班次明細'!$L$48&gt;0,$B18&gt;='班次明細'!$G$48,$C18&lt;='班次明細'!$H$48,OR('班次明細'!$K$48=0,$C18&lt;='班次明細'!$I$48,$B18&gt;='班次明細'!$J$48)),1,0)+IF(AND('班次明細'!$L$55&gt;0,$B18&gt;='班次明細'!$G$55,$C18&lt;='班次明細'!$H$55,OR('班次明細'!$K$55=0,$C18&lt;='班次明細'!$I$55,$B18&gt;='班次明細'!$J$55)),1,0)+IF(AND('班次明細'!$L$62&gt;0,$B18&gt;='班次明細'!$G$62,$C18&lt;='班次明細'!$H$62,OR('班次明細'!$K$62=0,$C18&lt;='班次明細'!$I$62,$B18&gt;='班次明細'!$J$62)),1,0)+IF(AND('班次明細'!$L$69&gt;0,$B18&gt;='班次明細'!$G$69,$C18&lt;='班次明細'!$H$69,OR('班次明細'!$K$69=0,$C18&lt;='班次明細'!$I$69,$B18&gt;='班次明細'!$J$69)),1,0)+IF(AND('班次明細'!$L$76&gt;0,$B18&gt;='班次明細'!$G$76,$C18&lt;='班次明細'!$H$76,OR('班次明細'!$K$76=0,$C18&lt;='班次明細'!$I$76,$B18&gt;='班次明細'!$J$76)),1,0)</x:f>
        <x:v>0</x:v>
      </x:c>
      <x:c r="H18" s="2" t="n">
        <x:f>MAX(0,E18-G18)</x:f>
        <x:v>2</x:v>
      </x:c>
      <x:c r="I18" s="2" t="n">
        <x:f>IF(F18="",0,MAX(0,G18-F18))</x:f>
        <x:v>0</x:v>
      </x:c>
      <x:c r="J18" s="2" t="n">
        <x:v>2</x:v>
      </x:c>
      <x:c r="K18" s="11" t="str"/>
      <x:c r="L18" s="11" t="str">
        <x:f>IF(OR(H18&gt;0,J18&gt;0),"營運參考／主管現場協調",IF(I18&gt;0,"營運參考／主管現場協調","本段人力足夠"))</x:f>
        <x:v>營運參考／主管現場協調</x:v>
      </x:c>
    </x:row>
    <x:row r="19" ht="42" customHeight="1">
      <x:c r="A19" s="12" t="n">
        <x:v>46279</x:v>
      </x:c>
      <x:c r="B19" s="13" t="n">
        <x:v>0.6875</x:v>
      </x:c>
      <x:c r="C19" s="13" t="n">
        <x:v>0.7083333333333334</x:v>
      </x:c>
      <x:c r="D19" s="2" t="str">
        <x:v>平日離峰</x:v>
      </x:c>
      <x:c r="E19" s="2" t="n">
        <x:v>2</x:v>
      </x:c>
      <x:c r="F19" s="2"/>
      <x:c r="G19" s="2" t="n">
        <x:f>IF(AND('班次明細'!$L$6&gt;0,$B19&gt;='班次明細'!$G$6,$C19&lt;='班次明細'!$H$6,OR('班次明細'!$K$6=0,$C19&lt;='班次明細'!$I$6,$B19&gt;='班次明細'!$J$6)),1,0)+IF(AND('班次明細'!$L$13&gt;0,$B19&gt;='班次明細'!$G$13,$C19&lt;='班次明細'!$H$13,OR('班次明細'!$K$13=0,$C19&lt;='班次明細'!$I$13,$B19&gt;='班次明細'!$J$13)),1,0)+IF(AND('班次明細'!$L$20&gt;0,$B19&gt;='班次明細'!$G$20,$C19&lt;='班次明細'!$H$20,OR('班次明細'!$K$20=0,$C19&lt;='班次明細'!$I$20,$B19&gt;='班次明細'!$J$20)),1,0)+IF(AND('班次明細'!$L$27&gt;0,$B19&gt;='班次明細'!$G$27,$C19&lt;='班次明細'!$H$27,OR('班次明細'!$K$27=0,$C19&lt;='班次明細'!$I$27,$B19&gt;='班次明細'!$J$27)),1,0)+IF(AND('班次明細'!$L$34&gt;0,$B19&gt;='班次明細'!$G$34,$C19&lt;='班次明細'!$H$34,OR('班次明細'!$K$34=0,$C19&lt;='班次明細'!$I$34,$B19&gt;='班次明細'!$J$34)),1,0)+IF(AND('班次明細'!$L$41&gt;0,$B19&gt;='班次明細'!$G$41,$C19&lt;='班次明細'!$H$41,OR('班次明細'!$K$41=0,$C19&lt;='班次明細'!$I$41,$B19&gt;='班次明細'!$J$41)),1,0)+IF(AND('班次明細'!$L$48&gt;0,$B19&gt;='班次明細'!$G$48,$C19&lt;='班次明細'!$H$48,OR('班次明細'!$K$48=0,$C19&lt;='班次明細'!$I$48,$B19&gt;='班次明細'!$J$48)),1,0)+IF(AND('班次明細'!$L$55&gt;0,$B19&gt;='班次明細'!$G$55,$C19&lt;='班次明細'!$H$55,OR('班次明細'!$K$55=0,$C19&lt;='班次明細'!$I$55,$B19&gt;='班次明細'!$J$55)),1,0)+IF(AND('班次明細'!$L$62&gt;0,$B19&gt;='班次明細'!$G$62,$C19&lt;='班次明細'!$H$62,OR('班次明細'!$K$62=0,$C19&lt;='班次明細'!$I$62,$B19&gt;='班次明細'!$J$62)),1,0)+IF(AND('班次明細'!$L$69&gt;0,$B19&gt;='班次明細'!$G$69,$C19&lt;='班次明細'!$H$69,OR('班次明細'!$K$69=0,$C19&lt;='班次明細'!$I$69,$B19&gt;='班次明細'!$J$69)),1,0)+IF(AND('班次明細'!$L$76&gt;0,$B19&gt;='班次明細'!$G$76,$C19&lt;='班次明細'!$H$76,OR('班次明細'!$K$76=0,$C19&lt;='班次明細'!$I$76,$B19&gt;='班次明細'!$J$76)),1,0)</x:f>
        <x:v>0</x:v>
      </x:c>
      <x:c r="H19" s="2" t="n">
        <x:f>MAX(0,E19-G19)</x:f>
        <x:v>2</x:v>
      </x:c>
      <x:c r="I19" s="2" t="n">
        <x:f>IF(F19="",0,MAX(0,G19-F19))</x:f>
        <x:v>0</x:v>
      </x:c>
      <x:c r="J19" s="2" t="n">
        <x:v>2</x:v>
      </x:c>
      <x:c r="K19" s="11" t="str"/>
      <x:c r="L19" s="11" t="str">
        <x:f>IF(OR(H19&gt;0,J19&gt;0),"營運參考／主管現場協調",IF(I19&gt;0,"營運參考／主管現場協調","本段人力足夠"))</x:f>
        <x:v>營運參考／主管現場協調</x:v>
      </x:c>
    </x:row>
    <x:row r="20" ht="42" customHeight="1">
      <x:c r="A20" s="12" t="n">
        <x:v>46279</x:v>
      </x:c>
      <x:c r="B20" s="13" t="n">
        <x:v>0.7083333333333334</x:v>
      </x:c>
      <x:c r="C20" s="13" t="n">
        <x:v>0.7291666666666666</x:v>
      </x:c>
      <x:c r="D20" s="2" t="str">
        <x:v>平日離峰</x:v>
      </x:c>
      <x:c r="E20" s="2" t="n">
        <x:v>2</x:v>
      </x:c>
      <x:c r="F20" s="2"/>
      <x:c r="G20" s="2" t="n">
        <x:f>IF(AND('班次明細'!$L$6&gt;0,$B20&gt;='班次明細'!$G$6,$C20&lt;='班次明細'!$H$6,OR('班次明細'!$K$6=0,$C20&lt;='班次明細'!$I$6,$B20&gt;='班次明細'!$J$6)),1,0)+IF(AND('班次明細'!$L$13&gt;0,$B20&gt;='班次明細'!$G$13,$C20&lt;='班次明細'!$H$13,OR('班次明細'!$K$13=0,$C20&lt;='班次明細'!$I$13,$B20&gt;='班次明細'!$J$13)),1,0)+IF(AND('班次明細'!$L$20&gt;0,$B20&gt;='班次明細'!$G$20,$C20&lt;='班次明細'!$H$20,OR('班次明細'!$K$20=0,$C20&lt;='班次明細'!$I$20,$B20&gt;='班次明細'!$J$20)),1,0)+IF(AND('班次明細'!$L$27&gt;0,$B20&gt;='班次明細'!$G$27,$C20&lt;='班次明細'!$H$27,OR('班次明細'!$K$27=0,$C20&lt;='班次明細'!$I$27,$B20&gt;='班次明細'!$J$27)),1,0)+IF(AND('班次明細'!$L$34&gt;0,$B20&gt;='班次明細'!$G$34,$C20&lt;='班次明細'!$H$34,OR('班次明細'!$K$34=0,$C20&lt;='班次明細'!$I$34,$B20&gt;='班次明細'!$J$34)),1,0)+IF(AND('班次明細'!$L$41&gt;0,$B20&gt;='班次明細'!$G$41,$C20&lt;='班次明細'!$H$41,OR('班次明細'!$K$41=0,$C20&lt;='班次明細'!$I$41,$B20&gt;='班次明細'!$J$41)),1,0)+IF(AND('班次明細'!$L$48&gt;0,$B20&gt;='班次明細'!$G$48,$C20&lt;='班次明細'!$H$48,OR('班次明細'!$K$48=0,$C20&lt;='班次明細'!$I$48,$B20&gt;='班次明細'!$J$48)),1,0)+IF(AND('班次明細'!$L$55&gt;0,$B20&gt;='班次明細'!$G$55,$C20&lt;='班次明細'!$H$55,OR('班次明細'!$K$55=0,$C20&lt;='班次明細'!$I$55,$B20&gt;='班次明細'!$J$55)),1,0)+IF(AND('班次明細'!$L$62&gt;0,$B20&gt;='班次明細'!$G$62,$C20&lt;='班次明細'!$H$62,OR('班次明細'!$K$62=0,$C20&lt;='班次明細'!$I$62,$B20&gt;='班次明細'!$J$62)),1,0)+IF(AND('班次明細'!$L$69&gt;0,$B20&gt;='班次明細'!$G$69,$C20&lt;='班次明細'!$H$69,OR('班次明細'!$K$69=0,$C20&lt;='班次明細'!$I$69,$B20&gt;='班次明細'!$J$69)),1,0)+IF(AND('班次明細'!$L$76&gt;0,$B20&gt;='班次明細'!$G$76,$C20&lt;='班次明細'!$H$76,OR('班次明細'!$K$76=0,$C20&lt;='班次明細'!$I$76,$B20&gt;='班次明細'!$J$76)),1,0)</x:f>
        <x:v>2</x:v>
      </x:c>
      <x:c r="H20" s="2" t="n">
        <x:f>MAX(0,E20-G20)</x:f>
        <x:v>0</x:v>
      </x:c>
      <x:c r="I20" s="2" t="n">
        <x:f>IF(F20="",0,MAX(0,G20-F20))</x:f>
        <x:v>0</x:v>
      </x:c>
      <x:c r="J20" s="2" t="n">
        <x:v>0</x:v>
      </x:c>
      <x:c r="K20" s="11" t="str"/>
      <x:c r="L20" s="11" t="str">
        <x:f>IF(OR(H20&gt;0,J20&gt;0),"營運參考／主管現場協調",IF(I20&gt;0,"營運參考／主管現場協調","本段人力足夠"))</x:f>
        <x:v>本段人力足夠</x:v>
      </x:c>
    </x:row>
    <x:row r="21" ht="42" customHeight="1">
      <x:c r="A21" s="12" t="n">
        <x:v>46279</x:v>
      </x:c>
      <x:c r="B21" s="13" t="n">
        <x:v>0.7291666666666666</x:v>
      </x:c>
      <x:c r="C21" s="13" t="n">
        <x:v>0.75</x:v>
      </x:c>
      <x:c r="D21" s="2" t="str">
        <x:v>平日晚峰</x:v>
      </x:c>
      <x:c r="E21" s="2" t="n">
        <x:v>5</x:v>
      </x:c>
      <x:c r="F21" s="2" t="n">
        <x:v>5</x:v>
      </x:c>
      <x:c r="G21" s="2" t="n">
        <x:f>IF(AND('班次明細'!$L$6&gt;0,$B21&gt;='班次明細'!$G$6,$C21&lt;='班次明細'!$H$6,OR('班次明細'!$K$6=0,$C21&lt;='班次明細'!$I$6,$B21&gt;='班次明細'!$J$6)),1,0)+IF(AND('班次明細'!$L$13&gt;0,$B21&gt;='班次明細'!$G$13,$C21&lt;='班次明細'!$H$13,OR('班次明細'!$K$13=0,$C21&lt;='班次明細'!$I$13,$B21&gt;='班次明細'!$J$13)),1,0)+IF(AND('班次明細'!$L$20&gt;0,$B21&gt;='班次明細'!$G$20,$C21&lt;='班次明細'!$H$20,OR('班次明細'!$K$20=0,$C21&lt;='班次明細'!$I$20,$B21&gt;='班次明細'!$J$20)),1,0)+IF(AND('班次明細'!$L$27&gt;0,$B21&gt;='班次明細'!$G$27,$C21&lt;='班次明細'!$H$27,OR('班次明細'!$K$27=0,$C21&lt;='班次明細'!$I$27,$B21&gt;='班次明細'!$J$27)),1,0)+IF(AND('班次明細'!$L$34&gt;0,$B21&gt;='班次明細'!$G$34,$C21&lt;='班次明細'!$H$34,OR('班次明細'!$K$34=0,$C21&lt;='班次明細'!$I$34,$B21&gt;='班次明細'!$J$34)),1,0)+IF(AND('班次明細'!$L$41&gt;0,$B21&gt;='班次明細'!$G$41,$C21&lt;='班次明細'!$H$41,OR('班次明細'!$K$41=0,$C21&lt;='班次明細'!$I$41,$B21&gt;='班次明細'!$J$41)),1,0)+IF(AND('班次明細'!$L$48&gt;0,$B21&gt;='班次明細'!$G$48,$C21&lt;='班次明細'!$H$48,OR('班次明細'!$K$48=0,$C21&lt;='班次明細'!$I$48,$B21&gt;='班次明細'!$J$48)),1,0)+IF(AND('班次明細'!$L$55&gt;0,$B21&gt;='班次明細'!$G$55,$C21&lt;='班次明細'!$H$55,OR('班次明細'!$K$55=0,$C21&lt;='班次明細'!$I$55,$B21&gt;='班次明細'!$J$55)),1,0)+IF(AND('班次明細'!$L$62&gt;0,$B21&gt;='班次明細'!$G$62,$C21&lt;='班次明細'!$H$62,OR('班次明細'!$K$62=0,$C21&lt;='班次明細'!$I$62,$B21&gt;='班次明細'!$J$62)),1,0)+IF(AND('班次明細'!$L$69&gt;0,$B21&gt;='班次明細'!$G$69,$C21&lt;='班次明細'!$H$69,OR('班次明細'!$K$69=0,$C21&lt;='班次明細'!$I$69,$B21&gt;='班次明細'!$J$69)),1,0)+IF(AND('班次明細'!$L$76&gt;0,$B21&gt;='班次明細'!$G$76,$C21&lt;='班次明細'!$H$76,OR('班次明細'!$K$76=0,$C21&lt;='班次明細'!$I$76,$B21&gt;='班次明細'!$J$76)),1,0)</x:f>
        <x:v>3</x:v>
      </x:c>
      <x:c r="H21" s="2" t="n">
        <x:f>MAX(0,E21-G21)</x:f>
        <x:v>2</x:v>
      </x:c>
      <x:c r="I21" s="2" t="n">
        <x:f>IF(F21="",0,MAX(0,G21-F21))</x:f>
        <x:v>0</x:v>
      </x:c>
      <x:c r="J21" s="2" t="n">
        <x:v>2</x:v>
      </x:c>
      <x:c r="K21" s="11" t="str">
        <x:v>料區、炸區</x:v>
      </x:c>
      <x:c r="L21" s="11" t="str">
        <x:f>IF(OR(H21&gt;0,J21&gt;0),"營運參考／主管現場協調",IF(I21&gt;0,"營運參考／主管現場協調","本段人力足夠"))</x:f>
        <x:v>營運參考／主管現場協調</x:v>
      </x:c>
    </x:row>
    <x:row r="22" ht="42" customHeight="1">
      <x:c r="A22" s="12" t="n">
        <x:v>46279</x:v>
      </x:c>
      <x:c r="B22" s="13" t="n">
        <x:v>0.75</x:v>
      </x:c>
      <x:c r="C22" s="13" t="n">
        <x:v>0.7708333333333334</x:v>
      </x:c>
      <x:c r="D22" s="2" t="str">
        <x:v>平日晚峰</x:v>
      </x:c>
      <x:c r="E22" s="2" t="n">
        <x:v>5</x:v>
      </x:c>
      <x:c r="F22" s="2" t="n">
        <x:v>5</x:v>
      </x:c>
      <x:c r="G22" s="2" t="n">
        <x:f>IF(AND('班次明細'!$L$6&gt;0,$B22&gt;='班次明細'!$G$6,$C22&lt;='班次明細'!$H$6,OR('班次明細'!$K$6=0,$C22&lt;='班次明細'!$I$6,$B22&gt;='班次明細'!$J$6)),1,0)+IF(AND('班次明細'!$L$13&gt;0,$B22&gt;='班次明細'!$G$13,$C22&lt;='班次明細'!$H$13,OR('班次明細'!$K$13=0,$C22&lt;='班次明細'!$I$13,$B22&gt;='班次明細'!$J$13)),1,0)+IF(AND('班次明細'!$L$20&gt;0,$B22&gt;='班次明細'!$G$20,$C22&lt;='班次明細'!$H$20,OR('班次明細'!$K$20=0,$C22&lt;='班次明細'!$I$20,$B22&gt;='班次明細'!$J$20)),1,0)+IF(AND('班次明細'!$L$27&gt;0,$B22&gt;='班次明細'!$G$27,$C22&lt;='班次明細'!$H$27,OR('班次明細'!$K$27=0,$C22&lt;='班次明細'!$I$27,$B22&gt;='班次明細'!$J$27)),1,0)+IF(AND('班次明細'!$L$34&gt;0,$B22&gt;='班次明細'!$G$34,$C22&lt;='班次明細'!$H$34,OR('班次明細'!$K$34=0,$C22&lt;='班次明細'!$I$34,$B22&gt;='班次明細'!$J$34)),1,0)+IF(AND('班次明細'!$L$41&gt;0,$B22&gt;='班次明細'!$G$41,$C22&lt;='班次明細'!$H$41,OR('班次明細'!$K$41=0,$C22&lt;='班次明細'!$I$41,$B22&gt;='班次明細'!$J$41)),1,0)+IF(AND('班次明細'!$L$48&gt;0,$B22&gt;='班次明細'!$G$48,$C22&lt;='班次明細'!$H$48,OR('班次明細'!$K$48=0,$C22&lt;='班次明細'!$I$48,$B22&gt;='班次明細'!$J$48)),1,0)+IF(AND('班次明細'!$L$55&gt;0,$B22&gt;='班次明細'!$G$55,$C22&lt;='班次明細'!$H$55,OR('班次明細'!$K$55=0,$C22&lt;='班次明細'!$I$55,$B22&gt;='班次明細'!$J$55)),1,0)+IF(AND('班次明細'!$L$62&gt;0,$B22&gt;='班次明細'!$G$62,$C22&lt;='班次明細'!$H$62,OR('班次明細'!$K$62=0,$C22&lt;='班次明細'!$I$62,$B22&gt;='班次明細'!$J$62)),1,0)+IF(AND('班次明細'!$L$69&gt;0,$B22&gt;='班次明細'!$G$69,$C22&lt;='班次明細'!$H$69,OR('班次明細'!$K$69=0,$C22&lt;='班次明細'!$I$69,$B22&gt;='班次明細'!$J$69)),1,0)+IF(AND('班次明細'!$L$76&gt;0,$B22&gt;='班次明細'!$G$76,$C22&lt;='班次明細'!$H$76,OR('班次明細'!$K$76=0,$C22&lt;='班次明細'!$I$76,$B22&gt;='班次明細'!$J$76)),1,0)</x:f>
        <x:v>5</x:v>
      </x:c>
      <x:c r="H22" s="2" t="n">
        <x:f>MAX(0,E22-G22)</x:f>
        <x:v>0</x:v>
      </x:c>
      <x:c r="I22" s="2" t="n">
        <x:f>IF(F22="",0,MAX(0,G22-F22))</x:f>
        <x:v>0</x:v>
      </x:c>
      <x:c r="J22" s="2" t="n">
        <x:v>0</x:v>
      </x:c>
      <x:c r="K22" s="11" t="str"/>
      <x:c r="L22" s="11" t="str">
        <x:f>IF(OR(H22&gt;0,J22&gt;0),"營運參考／主管現場協調",IF(I22&gt;0,"營運參考／主管現場協調","本段人力足夠"))</x:f>
        <x:v>本段人力足夠</x:v>
      </x:c>
    </x:row>
    <x:row r="23" ht="42" customHeight="1">
      <x:c r="A23" s="12" t="n">
        <x:v>46279</x:v>
      </x:c>
      <x:c r="B23" s="13" t="n">
        <x:v>0.7708333333333334</x:v>
      </x:c>
      <x:c r="C23" s="13" t="n">
        <x:v>0.7916666666666666</x:v>
      </x:c>
      <x:c r="D23" s="2" t="str">
        <x:v>平日晚峰</x:v>
      </x:c>
      <x:c r="E23" s="2" t="n">
        <x:v>5</x:v>
      </x:c>
      <x:c r="F23" s="2" t="n">
        <x:v>5</x:v>
      </x:c>
      <x:c r="G23" s="2" t="n">
        <x:f>IF(AND('班次明細'!$L$6&gt;0,$B23&gt;='班次明細'!$G$6,$C23&lt;='班次明細'!$H$6,OR('班次明細'!$K$6=0,$C23&lt;='班次明細'!$I$6,$B23&gt;='班次明細'!$J$6)),1,0)+IF(AND('班次明細'!$L$13&gt;0,$B23&gt;='班次明細'!$G$13,$C23&lt;='班次明細'!$H$13,OR('班次明細'!$K$13=0,$C23&lt;='班次明細'!$I$13,$B23&gt;='班次明細'!$J$13)),1,0)+IF(AND('班次明細'!$L$20&gt;0,$B23&gt;='班次明細'!$G$20,$C23&lt;='班次明細'!$H$20,OR('班次明細'!$K$20=0,$C23&lt;='班次明細'!$I$20,$B23&gt;='班次明細'!$J$20)),1,0)+IF(AND('班次明細'!$L$27&gt;0,$B23&gt;='班次明細'!$G$27,$C23&lt;='班次明細'!$H$27,OR('班次明細'!$K$27=0,$C23&lt;='班次明細'!$I$27,$B23&gt;='班次明細'!$J$27)),1,0)+IF(AND('班次明細'!$L$34&gt;0,$B23&gt;='班次明細'!$G$34,$C23&lt;='班次明細'!$H$34,OR('班次明細'!$K$34=0,$C23&lt;='班次明細'!$I$34,$B23&gt;='班次明細'!$J$34)),1,0)+IF(AND('班次明細'!$L$41&gt;0,$B23&gt;='班次明細'!$G$41,$C23&lt;='班次明細'!$H$41,OR('班次明細'!$K$41=0,$C23&lt;='班次明細'!$I$41,$B23&gt;='班次明細'!$J$41)),1,0)+IF(AND('班次明細'!$L$48&gt;0,$B23&gt;='班次明細'!$G$48,$C23&lt;='班次明細'!$H$48,OR('班次明細'!$K$48=0,$C23&lt;='班次明細'!$I$48,$B23&gt;='班次明細'!$J$48)),1,0)+IF(AND('班次明細'!$L$55&gt;0,$B23&gt;='班次明細'!$G$55,$C23&lt;='班次明細'!$H$55,OR('班次明細'!$K$55=0,$C23&lt;='班次明細'!$I$55,$B23&gt;='班次明細'!$J$55)),1,0)+IF(AND('班次明細'!$L$62&gt;0,$B23&gt;='班次明細'!$G$62,$C23&lt;='班次明細'!$H$62,OR('班次明細'!$K$62=0,$C23&lt;='班次明細'!$I$62,$B23&gt;='班次明細'!$J$62)),1,0)+IF(AND('班次明細'!$L$69&gt;0,$B23&gt;='班次明細'!$G$69,$C23&lt;='班次明細'!$H$69,OR('班次明細'!$K$69=0,$C23&lt;='班次明細'!$I$69,$B23&gt;='班次明細'!$J$69)),1,0)+IF(AND('班次明細'!$L$76&gt;0,$B23&gt;='班次明細'!$G$76,$C23&lt;='班次明細'!$H$76,OR('班次明細'!$K$76=0,$C23&lt;='班次明細'!$I$76,$B23&gt;='班次明細'!$J$76)),1,0)</x:f>
        <x:v>5</x:v>
      </x:c>
      <x:c r="H23" s="2" t="n">
        <x:f>MAX(0,E23-G23)</x:f>
        <x:v>0</x:v>
      </x:c>
      <x:c r="I23" s="2" t="n">
        <x:f>IF(F23="",0,MAX(0,G23-F23))</x:f>
        <x:v>0</x:v>
      </x:c>
      <x:c r="J23" s="2" t="n">
        <x:v>0</x:v>
      </x:c>
      <x:c r="K23" s="11" t="str"/>
      <x:c r="L23" s="11" t="str">
        <x:f>IF(OR(H23&gt;0,J23&gt;0),"營運參考／主管現場協調",IF(I23&gt;0,"營運參考／主管現場協調","本段人力足夠"))</x:f>
        <x:v>本段人力足夠</x:v>
      </x:c>
    </x:row>
    <x:row r="24" ht="42" customHeight="1">
      <x:c r="A24" s="12" t="n">
        <x:v>46279</x:v>
      </x:c>
      <x:c r="B24" s="13" t="n">
        <x:v>0.7916666666666666</x:v>
      </x:c>
      <x:c r="C24" s="13" t="n">
        <x:v>0.8125</x:v>
      </x:c>
      <x:c r="D24" s="2" t="str">
        <x:v>平日晚峰</x:v>
      </x:c>
      <x:c r="E24" s="2" t="n">
        <x:v>5</x:v>
      </x:c>
      <x:c r="F24" s="2" t="n">
        <x:v>5</x:v>
      </x:c>
      <x:c r="G24" s="2" t="n">
        <x:f>IF(AND('班次明細'!$L$6&gt;0,$B24&gt;='班次明細'!$G$6,$C24&lt;='班次明細'!$H$6,OR('班次明細'!$K$6=0,$C24&lt;='班次明細'!$I$6,$B24&gt;='班次明細'!$J$6)),1,0)+IF(AND('班次明細'!$L$13&gt;0,$B24&gt;='班次明細'!$G$13,$C24&lt;='班次明細'!$H$13,OR('班次明細'!$K$13=0,$C24&lt;='班次明細'!$I$13,$B24&gt;='班次明細'!$J$13)),1,0)+IF(AND('班次明細'!$L$20&gt;0,$B24&gt;='班次明細'!$G$20,$C24&lt;='班次明細'!$H$20,OR('班次明細'!$K$20=0,$C24&lt;='班次明細'!$I$20,$B24&gt;='班次明細'!$J$20)),1,0)+IF(AND('班次明細'!$L$27&gt;0,$B24&gt;='班次明細'!$G$27,$C24&lt;='班次明細'!$H$27,OR('班次明細'!$K$27=0,$C24&lt;='班次明細'!$I$27,$B24&gt;='班次明細'!$J$27)),1,0)+IF(AND('班次明細'!$L$34&gt;0,$B24&gt;='班次明細'!$G$34,$C24&lt;='班次明細'!$H$34,OR('班次明細'!$K$34=0,$C24&lt;='班次明細'!$I$34,$B24&gt;='班次明細'!$J$34)),1,0)+IF(AND('班次明細'!$L$41&gt;0,$B24&gt;='班次明細'!$G$41,$C24&lt;='班次明細'!$H$41,OR('班次明細'!$K$41=0,$C24&lt;='班次明細'!$I$41,$B24&gt;='班次明細'!$J$41)),1,0)+IF(AND('班次明細'!$L$48&gt;0,$B24&gt;='班次明細'!$G$48,$C24&lt;='班次明細'!$H$48,OR('班次明細'!$K$48=0,$C24&lt;='班次明細'!$I$48,$B24&gt;='班次明細'!$J$48)),1,0)+IF(AND('班次明細'!$L$55&gt;0,$B24&gt;='班次明細'!$G$55,$C24&lt;='班次明細'!$H$55,OR('班次明細'!$K$55=0,$C24&lt;='班次明細'!$I$55,$B24&gt;='班次明細'!$J$55)),1,0)+IF(AND('班次明細'!$L$62&gt;0,$B24&gt;='班次明細'!$G$62,$C24&lt;='班次明細'!$H$62,OR('班次明細'!$K$62=0,$C24&lt;='班次明細'!$I$62,$B24&gt;='班次明細'!$J$62)),1,0)+IF(AND('班次明細'!$L$69&gt;0,$B24&gt;='班次明細'!$G$69,$C24&lt;='班次明細'!$H$69,OR('班次明細'!$K$69=0,$C24&lt;='班次明細'!$I$69,$B24&gt;='班次明細'!$J$69)),1,0)+IF(AND('班次明細'!$L$76&gt;0,$B24&gt;='班次明細'!$G$76,$C24&lt;='班次明細'!$H$76,OR('班次明細'!$K$76=0,$C24&lt;='班次明細'!$I$76,$B24&gt;='班次明細'!$J$76)),1,0)</x:f>
        <x:v>5</x:v>
      </x:c>
      <x:c r="H24" s="2" t="n">
        <x:f>MAX(0,E24-G24)</x:f>
        <x:v>0</x:v>
      </x:c>
      <x:c r="I24" s="2" t="n">
        <x:f>IF(F24="",0,MAX(0,G24-F24))</x:f>
        <x:v>0</x:v>
      </x:c>
      <x:c r="J24" s="2" t="n">
        <x:v>0</x:v>
      </x:c>
      <x:c r="K24" s="11" t="str"/>
      <x:c r="L24" s="11" t="str">
        <x:f>IF(OR(H24&gt;0,J24&gt;0),"營運參考／主管現場協調",IF(I24&gt;0,"營運參考／主管現場協調","本段人力足夠"))</x:f>
        <x:v>本段人力足夠</x:v>
      </x:c>
    </x:row>
    <x:row r="25" ht="42" customHeight="1">
      <x:c r="A25" s="12" t="n">
        <x:v>46279</x:v>
      </x:c>
      <x:c r="B25" s="13" t="n">
        <x:v>0.8125</x:v>
      </x:c>
      <x:c r="C25" s="13" t="n">
        <x:v>0.8333333333333334</x:v>
      </x:c>
      <x:c r="D25" s="2" t="str">
        <x:v>平日離峰</x:v>
      </x:c>
      <x:c r="E25" s="2" t="n">
        <x:v>2</x:v>
      </x:c>
      <x:c r="F25" s="2"/>
      <x:c r="G25" s="2" t="n">
        <x:f>IF(AND('班次明細'!$L$6&gt;0,$B25&gt;='班次明細'!$G$6,$C25&lt;='班次明細'!$H$6,OR('班次明細'!$K$6=0,$C25&lt;='班次明細'!$I$6,$B25&gt;='班次明細'!$J$6)),1,0)+IF(AND('班次明細'!$L$13&gt;0,$B25&gt;='班次明細'!$G$13,$C25&lt;='班次明細'!$H$13,OR('班次明細'!$K$13=0,$C25&lt;='班次明細'!$I$13,$B25&gt;='班次明細'!$J$13)),1,0)+IF(AND('班次明細'!$L$20&gt;0,$B25&gt;='班次明細'!$G$20,$C25&lt;='班次明細'!$H$20,OR('班次明細'!$K$20=0,$C25&lt;='班次明細'!$I$20,$B25&gt;='班次明細'!$J$20)),1,0)+IF(AND('班次明細'!$L$27&gt;0,$B25&gt;='班次明細'!$G$27,$C25&lt;='班次明細'!$H$27,OR('班次明細'!$K$27=0,$C25&lt;='班次明細'!$I$27,$B25&gt;='班次明細'!$J$27)),1,0)+IF(AND('班次明細'!$L$34&gt;0,$B25&gt;='班次明細'!$G$34,$C25&lt;='班次明細'!$H$34,OR('班次明細'!$K$34=0,$C25&lt;='班次明細'!$I$34,$B25&gt;='班次明細'!$J$34)),1,0)+IF(AND('班次明細'!$L$41&gt;0,$B25&gt;='班次明細'!$G$41,$C25&lt;='班次明細'!$H$41,OR('班次明細'!$K$41=0,$C25&lt;='班次明細'!$I$41,$B25&gt;='班次明細'!$J$41)),1,0)+IF(AND('班次明細'!$L$48&gt;0,$B25&gt;='班次明細'!$G$48,$C25&lt;='班次明細'!$H$48,OR('班次明細'!$K$48=0,$C25&lt;='班次明細'!$I$48,$B25&gt;='班次明細'!$J$48)),1,0)+IF(AND('班次明細'!$L$55&gt;0,$B25&gt;='班次明細'!$G$55,$C25&lt;='班次明細'!$H$55,OR('班次明細'!$K$55=0,$C25&lt;='班次明細'!$I$55,$B25&gt;='班次明細'!$J$55)),1,0)+IF(AND('班次明細'!$L$62&gt;0,$B25&gt;='班次明細'!$G$62,$C25&lt;='班次明細'!$H$62,OR('班次明細'!$K$62=0,$C25&lt;='班次明細'!$I$62,$B25&gt;='班次明細'!$J$62)),1,0)+IF(AND('班次明細'!$L$69&gt;0,$B25&gt;='班次明細'!$G$69,$C25&lt;='班次明細'!$H$69,OR('班次明細'!$K$69=0,$C25&lt;='班次明細'!$I$69,$B25&gt;='班次明細'!$J$69)),1,0)+IF(AND('班次明細'!$L$76&gt;0,$B25&gt;='班次明細'!$G$76,$C25&lt;='班次明細'!$H$76,OR('班次明細'!$K$76=0,$C25&lt;='班次明細'!$I$76,$B25&gt;='班次明細'!$J$76)),1,0)</x:f>
        <x:v>5</x:v>
      </x:c>
      <x:c r="H25" s="2" t="n">
        <x:f>MAX(0,E25-G25)</x:f>
        <x:v>0</x:v>
      </x:c>
      <x:c r="I25" s="2" t="n">
        <x:f>IF(F25="",0,MAX(0,G25-F25))</x:f>
        <x:v>0</x:v>
      </x:c>
      <x:c r="J25" s="2" t="n">
        <x:v>0</x:v>
      </x:c>
      <x:c r="K25" s="11" t="str"/>
      <x:c r="L25" s="11" t="str">
        <x:f>IF(OR(H25&gt;0,J25&gt;0),"營運參考／主管現場協調",IF(I25&gt;0,"營運參考／主管現場協調","本段人力足夠"))</x:f>
        <x:v>本段人力足夠</x:v>
      </x:c>
    </x:row>
    <x:row r="26" ht="42" customHeight="1">
      <x:c r="A26" s="12" t="n">
        <x:v>46279</x:v>
      </x:c>
      <x:c r="B26" s="13" t="n">
        <x:v>0.8333333333333334</x:v>
      </x:c>
      <x:c r="C26" s="13" t="n">
        <x:v>0.8541666666666666</x:v>
      </x:c>
      <x:c r="D26" s="2" t="str">
        <x:v>平日收店20</x:v>
      </x:c>
      <x:c r="E26" s="2" t="n">
        <x:v>5</x:v>
      </x:c>
      <x:c r="F26" s="2"/>
      <x:c r="G26" s="2" t="n">
        <x:f>IF(AND('班次明細'!$L$6&gt;0,$B26&gt;='班次明細'!$G$6,$C26&lt;='班次明細'!$H$6,OR('班次明細'!$K$6=0,$C26&lt;='班次明細'!$I$6,$B26&gt;='班次明細'!$J$6)),1,0)+IF(AND('班次明細'!$L$13&gt;0,$B26&gt;='班次明細'!$G$13,$C26&lt;='班次明細'!$H$13,OR('班次明細'!$K$13=0,$C26&lt;='班次明細'!$I$13,$B26&gt;='班次明細'!$J$13)),1,0)+IF(AND('班次明細'!$L$20&gt;0,$B26&gt;='班次明細'!$G$20,$C26&lt;='班次明細'!$H$20,OR('班次明細'!$K$20=0,$C26&lt;='班次明細'!$I$20,$B26&gt;='班次明細'!$J$20)),1,0)+IF(AND('班次明細'!$L$27&gt;0,$B26&gt;='班次明細'!$G$27,$C26&lt;='班次明細'!$H$27,OR('班次明細'!$K$27=0,$C26&lt;='班次明細'!$I$27,$B26&gt;='班次明細'!$J$27)),1,0)+IF(AND('班次明細'!$L$34&gt;0,$B26&gt;='班次明細'!$G$34,$C26&lt;='班次明細'!$H$34,OR('班次明細'!$K$34=0,$C26&lt;='班次明細'!$I$34,$B26&gt;='班次明細'!$J$34)),1,0)+IF(AND('班次明細'!$L$41&gt;0,$B26&gt;='班次明細'!$G$41,$C26&lt;='班次明細'!$H$41,OR('班次明細'!$K$41=0,$C26&lt;='班次明細'!$I$41,$B26&gt;='班次明細'!$J$41)),1,0)+IF(AND('班次明細'!$L$48&gt;0,$B26&gt;='班次明細'!$G$48,$C26&lt;='班次明細'!$H$48,OR('班次明細'!$K$48=0,$C26&lt;='班次明細'!$I$48,$B26&gt;='班次明細'!$J$48)),1,0)+IF(AND('班次明細'!$L$55&gt;0,$B26&gt;='班次明細'!$G$55,$C26&lt;='班次明細'!$H$55,OR('班次明細'!$K$55=0,$C26&lt;='班次明細'!$I$55,$B26&gt;='班次明細'!$J$55)),1,0)+IF(AND('班次明細'!$L$62&gt;0,$B26&gt;='班次明細'!$G$62,$C26&lt;='班次明細'!$H$62,OR('班次明細'!$K$62=0,$C26&lt;='班次明細'!$I$62,$B26&gt;='班次明細'!$J$62)),1,0)+IF(AND('班次明細'!$L$69&gt;0,$B26&gt;='班次明細'!$G$69,$C26&lt;='班次明細'!$H$69,OR('班次明細'!$K$69=0,$C26&lt;='班次明細'!$I$69,$B26&gt;='班次明細'!$J$69)),1,0)+IF(AND('班次明細'!$L$76&gt;0,$B26&gt;='班次明細'!$G$76,$C26&lt;='班次明細'!$H$76,OR('班次明細'!$K$76=0,$C26&lt;='班次明細'!$I$76,$B26&gt;='班次明細'!$J$76)),1,0)</x:f>
        <x:v>5</x:v>
      </x:c>
      <x:c r="H26" s="2" t="n">
        <x:f>MAX(0,E26-G26)</x:f>
        <x:v>0</x:v>
      </x:c>
      <x:c r="I26" s="2" t="n">
        <x:f>IF(F26="",0,MAX(0,G26-F26))</x:f>
        <x:v>0</x:v>
      </x:c>
      <x:c r="J26" s="2" t="n">
        <x:v>0</x:v>
      </x:c>
      <x:c r="K26" s="11" t="str"/>
      <x:c r="L26" s="11" t="str">
        <x:f>IF(OR(H26&gt;0,J26&gt;0),"營運參考／主管現場協調；收店交接參考",IF(I26&gt;0,"營運參考／主管現場協調","人數足；收店交接參考"))</x:f>
        <x:v>人數足；收店交接參考</x:v>
      </x:c>
    </x:row>
    <x:row r="27" ht="42" customHeight="1">
      <x:c r="A27" s="12" t="n">
        <x:v>46279</x:v>
      </x:c>
      <x:c r="B27" s="13" t="n">
        <x:v>0.8541666666666666</x:v>
      </x:c>
      <x:c r="C27" s="13" t="n">
        <x:v>0.875</x:v>
      </x:c>
      <x:c r="D27" s="2" t="str">
        <x:v>平日收店20</x:v>
      </x:c>
      <x:c r="E27" s="2" t="n">
        <x:v>5</x:v>
      </x:c>
      <x:c r="F27" s="2"/>
      <x:c r="G27" s="2" t="n">
        <x:f>IF(AND('班次明細'!$L$6&gt;0,$B27&gt;='班次明細'!$G$6,$C27&lt;='班次明細'!$H$6,OR('班次明細'!$K$6=0,$C27&lt;='班次明細'!$I$6,$B27&gt;='班次明細'!$J$6)),1,0)+IF(AND('班次明細'!$L$13&gt;0,$B27&gt;='班次明細'!$G$13,$C27&lt;='班次明細'!$H$13,OR('班次明細'!$K$13=0,$C27&lt;='班次明細'!$I$13,$B27&gt;='班次明細'!$J$13)),1,0)+IF(AND('班次明細'!$L$20&gt;0,$B27&gt;='班次明細'!$G$20,$C27&lt;='班次明細'!$H$20,OR('班次明細'!$K$20=0,$C27&lt;='班次明細'!$I$20,$B27&gt;='班次明細'!$J$20)),1,0)+IF(AND('班次明細'!$L$27&gt;0,$B27&gt;='班次明細'!$G$27,$C27&lt;='班次明細'!$H$27,OR('班次明細'!$K$27=0,$C27&lt;='班次明細'!$I$27,$B27&gt;='班次明細'!$J$27)),1,0)+IF(AND('班次明細'!$L$34&gt;0,$B27&gt;='班次明細'!$G$34,$C27&lt;='班次明細'!$H$34,OR('班次明細'!$K$34=0,$C27&lt;='班次明細'!$I$34,$B27&gt;='班次明細'!$J$34)),1,0)+IF(AND('班次明細'!$L$41&gt;0,$B27&gt;='班次明細'!$G$41,$C27&lt;='班次明細'!$H$41,OR('班次明細'!$K$41=0,$C27&lt;='班次明細'!$I$41,$B27&gt;='班次明細'!$J$41)),1,0)+IF(AND('班次明細'!$L$48&gt;0,$B27&gt;='班次明細'!$G$48,$C27&lt;='班次明細'!$H$48,OR('班次明細'!$K$48=0,$C27&lt;='班次明細'!$I$48,$B27&gt;='班次明細'!$J$48)),1,0)+IF(AND('班次明細'!$L$55&gt;0,$B27&gt;='班次明細'!$G$55,$C27&lt;='班次明細'!$H$55,OR('班次明細'!$K$55=0,$C27&lt;='班次明細'!$I$55,$B27&gt;='班次明細'!$J$55)),1,0)+IF(AND('班次明細'!$L$62&gt;0,$B27&gt;='班次明細'!$G$62,$C27&lt;='班次明細'!$H$62,OR('班次明細'!$K$62=0,$C27&lt;='班次明細'!$I$62,$B27&gt;='班次明細'!$J$62)),1,0)+IF(AND('班次明細'!$L$69&gt;0,$B27&gt;='班次明細'!$G$69,$C27&lt;='班次明細'!$H$69,OR('班次明細'!$K$69=0,$C27&lt;='班次明細'!$I$69,$B27&gt;='班次明細'!$J$69)),1,0)+IF(AND('班次明細'!$L$76&gt;0,$B27&gt;='班次明細'!$G$76,$C27&lt;='班次明細'!$H$76,OR('班次明細'!$K$76=0,$C27&lt;='班次明細'!$I$76,$B27&gt;='班次明細'!$J$76)),1,0)</x:f>
        <x:v>5</x:v>
      </x:c>
      <x:c r="H27" s="2" t="n">
        <x:f>MAX(0,E27-G27)</x:f>
        <x:v>0</x:v>
      </x:c>
      <x:c r="I27" s="2" t="n">
        <x:f>IF(F27="",0,MAX(0,G27-F27))</x:f>
        <x:v>0</x:v>
      </x:c>
      <x:c r="J27" s="2" t="n">
        <x:v>0</x:v>
      </x:c>
      <x:c r="K27" s="11" t="str"/>
      <x:c r="L27" s="11" t="str">
        <x:f>IF(OR(H27&gt;0,J27&gt;0),"營運參考／主管現場協調；收店交接參考",IF(I27&gt;0,"營運參考／主管現場協調","人數足；收店交接參考"))</x:f>
        <x:v>人數足；收店交接參考</x:v>
      </x:c>
    </x:row>
    <x:row r="28" ht="42" customHeight="1">
      <x:c r="A28" s="12" t="n">
        <x:v>46279</x:v>
      </x:c>
      <x:c r="B28" s="13" t="n">
        <x:v>0.875</x:v>
      </x:c>
      <x:c r="C28" s="13" t="n">
        <x:v>0.8958333333333334</x:v>
      </x:c>
      <x:c r="D28" s="2" t="str">
        <x:v>平日收店21</x:v>
      </x:c>
      <x:c r="E28" s="2" t="n">
        <x:v>4</x:v>
      </x:c>
      <x:c r="F28" s="2"/>
      <x:c r="G28" s="2" t="n">
        <x:f>IF(AND('班次明細'!$L$6&gt;0,$B28&gt;='班次明細'!$G$6,$C28&lt;='班次明細'!$H$6,OR('班次明細'!$K$6=0,$C28&lt;='班次明細'!$I$6,$B28&gt;='班次明細'!$J$6)),1,0)+IF(AND('班次明細'!$L$13&gt;0,$B28&gt;='班次明細'!$G$13,$C28&lt;='班次明細'!$H$13,OR('班次明細'!$K$13=0,$C28&lt;='班次明細'!$I$13,$B28&gt;='班次明細'!$J$13)),1,0)+IF(AND('班次明細'!$L$20&gt;0,$B28&gt;='班次明細'!$G$20,$C28&lt;='班次明細'!$H$20,OR('班次明細'!$K$20=0,$C28&lt;='班次明細'!$I$20,$B28&gt;='班次明細'!$J$20)),1,0)+IF(AND('班次明細'!$L$27&gt;0,$B28&gt;='班次明細'!$G$27,$C28&lt;='班次明細'!$H$27,OR('班次明細'!$K$27=0,$C28&lt;='班次明細'!$I$27,$B28&gt;='班次明細'!$J$27)),1,0)+IF(AND('班次明細'!$L$34&gt;0,$B28&gt;='班次明細'!$G$34,$C28&lt;='班次明細'!$H$34,OR('班次明細'!$K$34=0,$C28&lt;='班次明細'!$I$34,$B28&gt;='班次明細'!$J$34)),1,0)+IF(AND('班次明細'!$L$41&gt;0,$B28&gt;='班次明細'!$G$41,$C28&lt;='班次明細'!$H$41,OR('班次明細'!$K$41=0,$C28&lt;='班次明細'!$I$41,$B28&gt;='班次明細'!$J$41)),1,0)+IF(AND('班次明細'!$L$48&gt;0,$B28&gt;='班次明細'!$G$48,$C28&lt;='班次明細'!$H$48,OR('班次明細'!$K$48=0,$C28&lt;='班次明細'!$I$48,$B28&gt;='班次明細'!$J$48)),1,0)+IF(AND('班次明細'!$L$55&gt;0,$B28&gt;='班次明細'!$G$55,$C28&lt;='班次明細'!$H$55,OR('班次明細'!$K$55=0,$C28&lt;='班次明細'!$I$55,$B28&gt;='班次明細'!$J$55)),1,0)+IF(AND('班次明細'!$L$62&gt;0,$B28&gt;='班次明細'!$G$62,$C28&lt;='班次明細'!$H$62,OR('班次明細'!$K$62=0,$C28&lt;='班次明細'!$I$62,$B28&gt;='班次明細'!$J$62)),1,0)+IF(AND('班次明細'!$L$69&gt;0,$B28&gt;='班次明細'!$G$69,$C28&lt;='班次明細'!$H$69,OR('班次明細'!$K$69=0,$C28&lt;='班次明細'!$I$69,$B28&gt;='班次明細'!$J$69)),1,0)+IF(AND('班次明細'!$L$76&gt;0,$B28&gt;='班次明細'!$G$76,$C28&lt;='班次明細'!$H$76,OR('班次明細'!$K$76=0,$C28&lt;='班次明細'!$I$76,$B28&gt;='班次明細'!$J$76)),1,0)</x:f>
        <x:v>3</x:v>
      </x:c>
      <x:c r="H28" s="2" t="n">
        <x:f>MAX(0,E28-G28)</x:f>
        <x:v>1</x:v>
      </x:c>
      <x:c r="I28" s="2" t="n">
        <x:f>IF(F28="",0,MAX(0,G28-F28))</x:f>
        <x:v>0</x:v>
      </x:c>
      <x:c r="J28" s="2" t="n">
        <x:v>1</x:v>
      </x:c>
      <x:c r="K28" s="11" t="str"/>
      <x:c r="L28" s="11" t="str">
        <x:f>IF(OR(H28&gt;0,J28&gt;0),"營運參考／主管現場協調；收店交接參考",IF(I28&gt;0,"營運參考／主管現場協調","人數足；收店交接參考"))</x:f>
        <x:v>營運參考／主管現場協調；收店交接參考</x:v>
      </x:c>
    </x:row>
    <x:row r="29" ht="42" customHeight="1">
      <x:c r="A29" s="12" t="n">
        <x:v>46279</x:v>
      </x:c>
      <x:c r="B29" s="13" t="n">
        <x:v>0.8958333333333334</x:v>
      </x:c>
      <x:c r="C29" s="13" t="n">
        <x:v>0.9166666666666666</x:v>
      </x:c>
      <x:c r="D29" s="2" t="str">
        <x:v>已結束</x:v>
      </x:c>
      <x:c r="E29" s="2" t="n">
        <x:v>0</x:v>
      </x:c>
      <x:c r="F29" s="2"/>
      <x:c r="G29" s="2" t="n">
        <x:f>IF(AND('班次明細'!$L$6&gt;0,$B29&gt;='班次明細'!$G$6,$C29&lt;='班次明細'!$H$6,OR('班次明細'!$K$6=0,$C29&lt;='班次明細'!$I$6,$B29&gt;='班次明細'!$J$6)),1,0)+IF(AND('班次明細'!$L$13&gt;0,$B29&gt;='班次明細'!$G$13,$C29&lt;='班次明細'!$H$13,OR('班次明細'!$K$13=0,$C29&lt;='班次明細'!$I$13,$B29&gt;='班次明細'!$J$13)),1,0)+IF(AND('班次明細'!$L$20&gt;0,$B29&gt;='班次明細'!$G$20,$C29&lt;='班次明細'!$H$20,OR('班次明細'!$K$20=0,$C29&lt;='班次明細'!$I$20,$B29&gt;='班次明細'!$J$20)),1,0)+IF(AND('班次明細'!$L$27&gt;0,$B29&gt;='班次明細'!$G$27,$C29&lt;='班次明細'!$H$27,OR('班次明細'!$K$27=0,$C29&lt;='班次明細'!$I$27,$B29&gt;='班次明細'!$J$27)),1,0)+IF(AND('班次明細'!$L$34&gt;0,$B29&gt;='班次明細'!$G$34,$C29&lt;='班次明細'!$H$34,OR('班次明細'!$K$34=0,$C29&lt;='班次明細'!$I$34,$B29&gt;='班次明細'!$J$34)),1,0)+IF(AND('班次明細'!$L$41&gt;0,$B29&gt;='班次明細'!$G$41,$C29&lt;='班次明細'!$H$41,OR('班次明細'!$K$41=0,$C29&lt;='班次明細'!$I$41,$B29&gt;='班次明細'!$J$41)),1,0)+IF(AND('班次明細'!$L$48&gt;0,$B29&gt;='班次明細'!$G$48,$C29&lt;='班次明細'!$H$48,OR('班次明細'!$K$48=0,$C29&lt;='班次明細'!$I$48,$B29&gt;='班次明細'!$J$48)),1,0)+IF(AND('班次明細'!$L$55&gt;0,$B29&gt;='班次明細'!$G$55,$C29&lt;='班次明細'!$H$55,OR('班次明細'!$K$55=0,$C29&lt;='班次明細'!$I$55,$B29&gt;='班次明細'!$J$55)),1,0)+IF(AND('班次明細'!$L$62&gt;0,$B29&gt;='班次明細'!$G$62,$C29&lt;='班次明細'!$H$62,OR('班次明細'!$K$62=0,$C29&lt;='班次明細'!$I$62,$B29&gt;='班次明細'!$J$62)),1,0)+IF(AND('班次明細'!$L$69&gt;0,$B29&gt;='班次明細'!$G$69,$C29&lt;='班次明細'!$H$69,OR('班次明細'!$K$69=0,$C29&lt;='班次明細'!$I$69,$B29&gt;='班次明細'!$J$69)),1,0)+IF(AND('班次明細'!$L$76&gt;0,$B29&gt;='班次明細'!$G$76,$C29&lt;='班次明細'!$H$76,OR('班次明細'!$K$76=0,$C29&lt;='班次明細'!$I$76,$B29&gt;='班次明細'!$J$76)),1,0)</x:f>
        <x:v>0</x:v>
      </x:c>
      <x:c r="H29" s="2" t="n">
        <x:f>MAX(0,E29-G29)</x:f>
        <x:v>0</x:v>
      </x:c>
      <x:c r="I29" s="2" t="n">
        <x:f>IF(F29="",0,MAX(0,G29-F29))</x:f>
        <x:v>0</x:v>
      </x:c>
      <x:c r="J29" s="2" t="n">
        <x:v>0</x:v>
      </x:c>
      <x:c r="K29" s="11" t="str"/>
      <x:c r="L29" s="11" t="str">
        <x:f>IF(OR(H29&gt;0,J29&gt;0),"營運參考／主管現場協調",IF(I29&gt;0,"營運參考／主管現場協調","無最低人力需求"))</x:f>
        <x:v>無最低人力需求</x:v>
      </x:c>
    </x:row>
    <x:row r="30" ht="42" customHeight="1">
      <x:c r="A30" s="12" t="n">
        <x:v>46280</x:v>
      </x:c>
      <x:c r="B30" s="13" t="n">
        <x:v>0.4166666666666667</x:v>
      </x:c>
      <x:c r="C30" s="13" t="n">
        <x:v>0.4375</x:v>
      </x:c>
      <x:c r="D30" s="2" t="str">
        <x:v>開店</x:v>
      </x:c>
      <x:c r="E30" s="2" t="n">
        <x:v>1</x:v>
      </x:c>
      <x:c r="F30" s="2" t="n">
        <x:v>1</x:v>
      </x:c>
      <x:c r="G30" s="2" t="n">
        <x:f>IF(AND('班次明細'!$L$7&gt;0,$B30&gt;='班次明細'!$G$7,$C30&lt;='班次明細'!$H$7,OR('班次明細'!$K$7=0,$C30&lt;='班次明細'!$I$7,$B30&gt;='班次明細'!$J$7)),1,0)+IF(AND('班次明細'!$L$14&gt;0,$B30&gt;='班次明細'!$G$14,$C30&lt;='班次明細'!$H$14,OR('班次明細'!$K$14=0,$C30&lt;='班次明細'!$I$14,$B30&gt;='班次明細'!$J$14)),1,0)+IF(AND('班次明細'!$L$21&gt;0,$B30&gt;='班次明細'!$G$21,$C30&lt;='班次明細'!$H$21,OR('班次明細'!$K$21=0,$C30&lt;='班次明細'!$I$21,$B30&gt;='班次明細'!$J$21)),1,0)+IF(AND('班次明細'!$L$28&gt;0,$B30&gt;='班次明細'!$G$28,$C30&lt;='班次明細'!$H$28,OR('班次明細'!$K$28=0,$C30&lt;='班次明細'!$I$28,$B30&gt;='班次明細'!$J$28)),1,0)+IF(AND('班次明細'!$L$35&gt;0,$B30&gt;='班次明細'!$G$35,$C30&lt;='班次明細'!$H$35,OR('班次明細'!$K$35=0,$C30&lt;='班次明細'!$I$35,$B30&gt;='班次明細'!$J$35)),1,0)+IF(AND('班次明細'!$L$42&gt;0,$B30&gt;='班次明細'!$G$42,$C30&lt;='班次明細'!$H$42,OR('班次明細'!$K$42=0,$C30&lt;='班次明細'!$I$42,$B30&gt;='班次明細'!$J$42)),1,0)+IF(AND('班次明細'!$L$49&gt;0,$B30&gt;='班次明細'!$G$49,$C30&lt;='班次明細'!$H$49,OR('班次明細'!$K$49=0,$C30&lt;='班次明細'!$I$49,$B30&gt;='班次明細'!$J$49)),1,0)+IF(AND('班次明細'!$L$56&gt;0,$B30&gt;='班次明細'!$G$56,$C30&lt;='班次明細'!$H$56,OR('班次明細'!$K$56=0,$C30&lt;='班次明細'!$I$56,$B30&gt;='班次明細'!$J$56)),1,0)+IF(AND('班次明細'!$L$63&gt;0,$B30&gt;='班次明細'!$G$63,$C30&lt;='班次明細'!$H$63,OR('班次明細'!$K$63=0,$C30&lt;='班次明細'!$I$63,$B30&gt;='班次明細'!$J$63)),1,0)+IF(AND('班次明細'!$L$70&gt;0,$B30&gt;='班次明細'!$G$70,$C30&lt;='班次明細'!$H$70,OR('班次明細'!$K$70=0,$C30&lt;='班次明細'!$I$70,$B30&gt;='班次明細'!$J$70)),1,0)+IF(AND('班次明細'!$L$77&gt;0,$B30&gt;='班次明細'!$G$77,$C30&lt;='班次明細'!$H$77,OR('班次明細'!$K$77=0,$C30&lt;='班次明細'!$I$77,$B30&gt;='班次明細'!$J$77)),1,0)</x:f>
        <x:v>1</x:v>
      </x:c>
      <x:c r="H30" s="2" t="n">
        <x:f>MAX(0,E30-G30)</x:f>
        <x:v>0</x:v>
      </x:c>
      <x:c r="I30" s="2" t="n">
        <x:f>IF(F30="",0,MAX(0,G30-F30))</x:f>
        <x:v>0</x:v>
      </x:c>
      <x:c r="J30" s="2" t="n">
        <x:v>0</x:v>
      </x:c>
      <x:c r="K30" s="11" t="str"/>
      <x:c r="L30" s="11" t="str">
        <x:f>IF(OR(H30&gt;0,J30&gt;0),"營運參考／主管現場協調",IF(I30&gt;0,"營運參考／主管現場協調","本段人力足夠"))</x:f>
        <x:v>本段人力足夠</x:v>
      </x:c>
    </x:row>
    <x:row r="31" ht="42" customHeight="1">
      <x:c r="A31" s="12" t="n">
        <x:v>46280</x:v>
      </x:c>
      <x:c r="B31" s="13" t="n">
        <x:v>0.4375</x:v>
      </x:c>
      <x:c r="C31" s="13" t="n">
        <x:v>0.4583333333333333</x:v>
      </x:c>
      <x:c r="D31" s="2" t="str">
        <x:v>開店</x:v>
      </x:c>
      <x:c r="E31" s="2" t="n">
        <x:v>1</x:v>
      </x:c>
      <x:c r="F31" s="2" t="n">
        <x:v>1</x:v>
      </x:c>
      <x:c r="G31" s="2" t="n">
        <x:f>IF(AND('班次明細'!$L$7&gt;0,$B31&gt;='班次明細'!$G$7,$C31&lt;='班次明細'!$H$7,OR('班次明細'!$K$7=0,$C31&lt;='班次明細'!$I$7,$B31&gt;='班次明細'!$J$7)),1,0)+IF(AND('班次明細'!$L$14&gt;0,$B31&gt;='班次明細'!$G$14,$C31&lt;='班次明細'!$H$14,OR('班次明細'!$K$14=0,$C31&lt;='班次明細'!$I$14,$B31&gt;='班次明細'!$J$14)),1,0)+IF(AND('班次明細'!$L$21&gt;0,$B31&gt;='班次明細'!$G$21,$C31&lt;='班次明細'!$H$21,OR('班次明細'!$K$21=0,$C31&lt;='班次明細'!$I$21,$B31&gt;='班次明細'!$J$21)),1,0)+IF(AND('班次明細'!$L$28&gt;0,$B31&gt;='班次明細'!$G$28,$C31&lt;='班次明細'!$H$28,OR('班次明細'!$K$28=0,$C31&lt;='班次明細'!$I$28,$B31&gt;='班次明細'!$J$28)),1,0)+IF(AND('班次明細'!$L$35&gt;0,$B31&gt;='班次明細'!$G$35,$C31&lt;='班次明細'!$H$35,OR('班次明細'!$K$35=0,$C31&lt;='班次明細'!$I$35,$B31&gt;='班次明細'!$J$35)),1,0)+IF(AND('班次明細'!$L$42&gt;0,$B31&gt;='班次明細'!$G$42,$C31&lt;='班次明細'!$H$42,OR('班次明細'!$K$42=0,$C31&lt;='班次明細'!$I$42,$B31&gt;='班次明細'!$J$42)),1,0)+IF(AND('班次明細'!$L$49&gt;0,$B31&gt;='班次明細'!$G$49,$C31&lt;='班次明細'!$H$49,OR('班次明細'!$K$49=0,$C31&lt;='班次明細'!$I$49,$B31&gt;='班次明細'!$J$49)),1,0)+IF(AND('班次明細'!$L$56&gt;0,$B31&gt;='班次明細'!$G$56,$C31&lt;='班次明細'!$H$56,OR('班次明細'!$K$56=0,$C31&lt;='班次明細'!$I$56,$B31&gt;='班次明細'!$J$56)),1,0)+IF(AND('班次明細'!$L$63&gt;0,$B31&gt;='班次明細'!$G$63,$C31&lt;='班次明細'!$H$63,OR('班次明細'!$K$63=0,$C31&lt;='班次明細'!$I$63,$B31&gt;='班次明細'!$J$63)),1,0)+IF(AND('班次明細'!$L$70&gt;0,$B31&gt;='班次明細'!$G$70,$C31&lt;='班次明細'!$H$70,OR('班次明細'!$K$70=0,$C31&lt;='班次明細'!$I$70,$B31&gt;='班次明細'!$J$70)),1,0)+IF(AND('班次明細'!$L$77&gt;0,$B31&gt;='班次明細'!$G$77,$C31&lt;='班次明細'!$H$77,OR('班次明細'!$K$77=0,$C31&lt;='班次明細'!$I$77,$B31&gt;='班次明細'!$J$77)),1,0)</x:f>
        <x:v>1</x:v>
      </x:c>
      <x:c r="H31" s="2" t="n">
        <x:f>MAX(0,E31-G31)</x:f>
        <x:v>0</x:v>
      </x:c>
      <x:c r="I31" s="2" t="n">
        <x:f>IF(F31="",0,MAX(0,G31-F31))</x:f>
        <x:v>0</x:v>
      </x:c>
      <x:c r="J31" s="2" t="n">
        <x:v>0</x:v>
      </x:c>
      <x:c r="K31" s="11" t="str"/>
      <x:c r="L31" s="11" t="str">
        <x:f>IF(OR(H31&gt;0,J31&gt;0),"營運參考／主管現場協調",IF(I31&gt;0,"營運參考／主管現場協調","本段人力足夠"))</x:f>
        <x:v>本段人力足夠</x:v>
      </x:c>
    </x:row>
    <x:row r="32" ht="42" customHeight="1">
      <x:c r="A32" s="12" t="n">
        <x:v>46280</x:v>
      </x:c>
      <x:c r="B32" s="13" t="n">
        <x:v>0.4583333333333333</x:v>
      </x:c>
      <x:c r="C32" s="13" t="n">
        <x:v>0.4791666666666667</x:v>
      </x:c>
      <x:c r="D32" s="2" t="str">
        <x:v>平日離峰</x:v>
      </x:c>
      <x:c r="E32" s="2" t="n">
        <x:v>2</x:v>
      </x:c>
      <x:c r="F32" s="2"/>
      <x:c r="G32" s="2" t="n">
        <x:f>IF(AND('班次明細'!$L$7&gt;0,$B32&gt;='班次明細'!$G$7,$C32&lt;='班次明細'!$H$7,OR('班次明細'!$K$7=0,$C32&lt;='班次明細'!$I$7,$B32&gt;='班次明細'!$J$7)),1,0)+IF(AND('班次明細'!$L$14&gt;0,$B32&gt;='班次明細'!$G$14,$C32&lt;='班次明細'!$H$14,OR('班次明細'!$K$14=0,$C32&lt;='班次明細'!$I$14,$B32&gt;='班次明細'!$J$14)),1,0)+IF(AND('班次明細'!$L$21&gt;0,$B32&gt;='班次明細'!$G$21,$C32&lt;='班次明細'!$H$21,OR('班次明細'!$K$21=0,$C32&lt;='班次明細'!$I$21,$B32&gt;='班次明細'!$J$21)),1,0)+IF(AND('班次明細'!$L$28&gt;0,$B32&gt;='班次明細'!$G$28,$C32&lt;='班次明細'!$H$28,OR('班次明細'!$K$28=0,$C32&lt;='班次明細'!$I$28,$B32&gt;='班次明細'!$J$28)),1,0)+IF(AND('班次明細'!$L$35&gt;0,$B32&gt;='班次明細'!$G$35,$C32&lt;='班次明細'!$H$35,OR('班次明細'!$K$35=0,$C32&lt;='班次明細'!$I$35,$B32&gt;='班次明細'!$J$35)),1,0)+IF(AND('班次明細'!$L$42&gt;0,$B32&gt;='班次明細'!$G$42,$C32&lt;='班次明細'!$H$42,OR('班次明細'!$K$42=0,$C32&lt;='班次明細'!$I$42,$B32&gt;='班次明細'!$J$42)),1,0)+IF(AND('班次明細'!$L$49&gt;0,$B32&gt;='班次明細'!$G$49,$C32&lt;='班次明細'!$H$49,OR('班次明細'!$K$49=0,$C32&lt;='班次明細'!$I$49,$B32&gt;='班次明細'!$J$49)),1,0)+IF(AND('班次明細'!$L$56&gt;0,$B32&gt;='班次明細'!$G$56,$C32&lt;='班次明細'!$H$56,OR('班次明細'!$K$56=0,$C32&lt;='班次明細'!$I$56,$B32&gt;='班次明細'!$J$56)),1,0)+IF(AND('班次明細'!$L$63&gt;0,$B32&gt;='班次明細'!$G$63,$C32&lt;='班次明細'!$H$63,OR('班次明細'!$K$63=0,$C32&lt;='班次明細'!$I$63,$B32&gt;='班次明細'!$J$63)),1,0)+IF(AND('班次明細'!$L$70&gt;0,$B32&gt;='班次明細'!$G$70,$C32&lt;='班次明細'!$H$70,OR('班次明細'!$K$70=0,$C32&lt;='班次明細'!$I$70,$B32&gt;='班次明細'!$J$70)),1,0)+IF(AND('班次明細'!$L$77&gt;0,$B32&gt;='班次明細'!$G$77,$C32&lt;='班次明細'!$H$77,OR('班次明細'!$K$77=0,$C32&lt;='班次明細'!$I$77,$B32&gt;='班次明細'!$J$77)),1,0)</x:f>
        <x:v>2</x:v>
      </x:c>
      <x:c r="H32" s="2" t="n">
        <x:f>MAX(0,E32-G32)</x:f>
        <x:v>0</x:v>
      </x:c>
      <x:c r="I32" s="2" t="n">
        <x:f>IF(F32="",0,MAX(0,G32-F32))</x:f>
        <x:v>0</x:v>
      </x:c>
      <x:c r="J32" s="2" t="n">
        <x:v>0</x:v>
      </x:c>
      <x:c r="K32" s="11" t="str"/>
      <x:c r="L32" s="11" t="str">
        <x:f>IF(OR(H32&gt;0,J32&gt;0),"營運參考／主管現場協調",IF(I32&gt;0,"營運參考／主管現場協調","本段人力足夠"))</x:f>
        <x:v>本段人力足夠</x:v>
      </x:c>
    </x:row>
    <x:row r="33" ht="42" customHeight="1">
      <x:c r="A33" s="12" t="n">
        <x:v>46280</x:v>
      </x:c>
      <x:c r="B33" s="13" t="n">
        <x:v>0.4791666666666667</x:v>
      </x:c>
      <x:c r="C33" s="13" t="n">
        <x:v>0.5</x:v>
      </x:c>
      <x:c r="D33" s="2" t="str">
        <x:v>平日離峰</x:v>
      </x:c>
      <x:c r="E33" s="2" t="n">
        <x:v>2</x:v>
      </x:c>
      <x:c r="F33" s="2"/>
      <x:c r="G33" s="2" t="n">
        <x:f>IF(AND('班次明細'!$L$7&gt;0,$B33&gt;='班次明細'!$G$7,$C33&lt;='班次明細'!$H$7,OR('班次明細'!$K$7=0,$C33&lt;='班次明細'!$I$7,$B33&gt;='班次明細'!$J$7)),1,0)+IF(AND('班次明細'!$L$14&gt;0,$B33&gt;='班次明細'!$G$14,$C33&lt;='班次明細'!$H$14,OR('班次明細'!$K$14=0,$C33&lt;='班次明細'!$I$14,$B33&gt;='班次明細'!$J$14)),1,0)+IF(AND('班次明細'!$L$21&gt;0,$B33&gt;='班次明細'!$G$21,$C33&lt;='班次明細'!$H$21,OR('班次明細'!$K$21=0,$C33&lt;='班次明細'!$I$21,$B33&gt;='班次明細'!$J$21)),1,0)+IF(AND('班次明細'!$L$28&gt;0,$B33&gt;='班次明細'!$G$28,$C33&lt;='班次明細'!$H$28,OR('班次明細'!$K$28=0,$C33&lt;='班次明細'!$I$28,$B33&gt;='班次明細'!$J$28)),1,0)+IF(AND('班次明細'!$L$35&gt;0,$B33&gt;='班次明細'!$G$35,$C33&lt;='班次明細'!$H$35,OR('班次明細'!$K$35=0,$C33&lt;='班次明細'!$I$35,$B33&gt;='班次明細'!$J$35)),1,0)+IF(AND('班次明細'!$L$42&gt;0,$B33&gt;='班次明細'!$G$42,$C33&lt;='班次明細'!$H$42,OR('班次明細'!$K$42=0,$C33&lt;='班次明細'!$I$42,$B33&gt;='班次明細'!$J$42)),1,0)+IF(AND('班次明細'!$L$49&gt;0,$B33&gt;='班次明細'!$G$49,$C33&lt;='班次明細'!$H$49,OR('班次明細'!$K$49=0,$C33&lt;='班次明細'!$I$49,$B33&gt;='班次明細'!$J$49)),1,0)+IF(AND('班次明細'!$L$56&gt;0,$B33&gt;='班次明細'!$G$56,$C33&lt;='班次明細'!$H$56,OR('班次明細'!$K$56=0,$C33&lt;='班次明細'!$I$56,$B33&gt;='班次明細'!$J$56)),1,0)+IF(AND('班次明細'!$L$63&gt;0,$B33&gt;='班次明細'!$G$63,$C33&lt;='班次明細'!$H$63,OR('班次明細'!$K$63=0,$C33&lt;='班次明細'!$I$63,$B33&gt;='班次明細'!$J$63)),1,0)+IF(AND('班次明細'!$L$70&gt;0,$B33&gt;='班次明細'!$G$70,$C33&lt;='班次明細'!$H$70,OR('班次明細'!$K$70=0,$C33&lt;='班次明細'!$I$70,$B33&gt;='班次明細'!$J$70)),1,0)+IF(AND('班次明細'!$L$77&gt;0,$B33&gt;='班次明細'!$G$77,$C33&lt;='班次明細'!$H$77,OR('班次明細'!$K$77=0,$C33&lt;='班次明細'!$I$77,$B33&gt;='班次明細'!$J$77)),1,0)</x:f>
        <x:v>4</x:v>
      </x:c>
      <x:c r="H33" s="2" t="n">
        <x:f>MAX(0,E33-G33)</x:f>
        <x:v>0</x:v>
      </x:c>
      <x:c r="I33" s="2" t="n">
        <x:f>IF(F33="",0,MAX(0,G33-F33))</x:f>
        <x:v>0</x:v>
      </x:c>
      <x:c r="J33" s="2" t="n">
        <x:v>0</x:v>
      </x:c>
      <x:c r="K33" s="11" t="str"/>
      <x:c r="L33" s="11" t="str">
        <x:f>IF(OR(H33&gt;0,J33&gt;0),"營運參考／主管現場協調",IF(I33&gt;0,"營運參考／主管現場協調","本段人力足夠"))</x:f>
        <x:v>本段人力足夠</x:v>
      </x:c>
    </x:row>
    <x:row r="34" ht="42" customHeight="1">
      <x:c r="A34" s="12" t="n">
        <x:v>46280</x:v>
      </x:c>
      <x:c r="B34" s="13" t="n">
        <x:v>0.5</x:v>
      </x:c>
      <x:c r="C34" s="13" t="n">
        <x:v>0.5208333333333334</x:v>
      </x:c>
      <x:c r="D34" s="2" t="str">
        <x:v>平日午峰</x:v>
      </x:c>
      <x:c r="E34" s="2" t="n">
        <x:v>4</x:v>
      </x:c>
      <x:c r="F34" s="2" t="n">
        <x:v>4</x:v>
      </x:c>
      <x:c r="G34" s="2" t="n">
        <x:f>IF(AND('班次明細'!$L$7&gt;0,$B34&gt;='班次明細'!$G$7,$C34&lt;='班次明細'!$H$7,OR('班次明細'!$K$7=0,$C34&lt;='班次明細'!$I$7,$B34&gt;='班次明細'!$J$7)),1,0)+IF(AND('班次明細'!$L$14&gt;0,$B34&gt;='班次明細'!$G$14,$C34&lt;='班次明細'!$H$14,OR('班次明細'!$K$14=0,$C34&lt;='班次明細'!$I$14,$B34&gt;='班次明細'!$J$14)),1,0)+IF(AND('班次明細'!$L$21&gt;0,$B34&gt;='班次明細'!$G$21,$C34&lt;='班次明細'!$H$21,OR('班次明細'!$K$21=0,$C34&lt;='班次明細'!$I$21,$B34&gt;='班次明細'!$J$21)),1,0)+IF(AND('班次明細'!$L$28&gt;0,$B34&gt;='班次明細'!$G$28,$C34&lt;='班次明細'!$H$28,OR('班次明細'!$K$28=0,$C34&lt;='班次明細'!$I$28,$B34&gt;='班次明細'!$J$28)),1,0)+IF(AND('班次明細'!$L$35&gt;0,$B34&gt;='班次明細'!$G$35,$C34&lt;='班次明細'!$H$35,OR('班次明細'!$K$35=0,$C34&lt;='班次明細'!$I$35,$B34&gt;='班次明細'!$J$35)),1,0)+IF(AND('班次明細'!$L$42&gt;0,$B34&gt;='班次明細'!$G$42,$C34&lt;='班次明細'!$H$42,OR('班次明細'!$K$42=0,$C34&lt;='班次明細'!$I$42,$B34&gt;='班次明細'!$J$42)),1,0)+IF(AND('班次明細'!$L$49&gt;0,$B34&gt;='班次明細'!$G$49,$C34&lt;='班次明細'!$H$49,OR('班次明細'!$K$49=0,$C34&lt;='班次明細'!$I$49,$B34&gt;='班次明細'!$J$49)),1,0)+IF(AND('班次明細'!$L$56&gt;0,$B34&gt;='班次明細'!$G$56,$C34&lt;='班次明細'!$H$56,OR('班次明細'!$K$56=0,$C34&lt;='班次明細'!$I$56,$B34&gt;='班次明細'!$J$56)),1,0)+IF(AND('班次明細'!$L$63&gt;0,$B34&gt;='班次明細'!$G$63,$C34&lt;='班次明細'!$H$63,OR('班次明細'!$K$63=0,$C34&lt;='班次明細'!$I$63,$B34&gt;='班次明細'!$J$63)),1,0)+IF(AND('班次明細'!$L$70&gt;0,$B34&gt;='班次明細'!$G$70,$C34&lt;='班次明細'!$H$70,OR('班次明細'!$K$70=0,$C34&lt;='班次明細'!$I$70,$B34&gt;='班次明細'!$J$70)),1,0)+IF(AND('班次明細'!$L$77&gt;0,$B34&gt;='班次明細'!$G$77,$C34&lt;='班次明細'!$H$77,OR('班次明細'!$K$77=0,$C34&lt;='班次明細'!$I$77,$B34&gt;='班次明細'!$J$77)),1,0)</x:f>
        <x:v>4</x:v>
      </x:c>
      <x:c r="H34" s="2" t="n">
        <x:f>MAX(0,E34-G34)</x:f>
        <x:v>0</x:v>
      </x:c>
      <x:c r="I34" s="2" t="n">
        <x:f>IF(F34="",0,MAX(0,G34-F34))</x:f>
        <x:v>0</x:v>
      </x:c>
      <x:c r="J34" s="2" t="n">
        <x:v>0</x:v>
      </x:c>
      <x:c r="K34" s="11" t="str"/>
      <x:c r="L34" s="11" t="str">
        <x:f>IF(OR(H34&gt;0,J34&gt;0),"營運參考／主管現場協調",IF(I34&gt;0,"營運參考／主管現場協調","本段人力足夠"))</x:f>
        <x:v>本段人力足夠</x:v>
      </x:c>
    </x:row>
    <x:row r="35" ht="42" customHeight="1">
      <x:c r="A35" s="12" t="n">
        <x:v>46280</x:v>
      </x:c>
      <x:c r="B35" s="13" t="n">
        <x:v>0.5208333333333334</x:v>
      </x:c>
      <x:c r="C35" s="13" t="n">
        <x:v>0.5416666666666666</x:v>
      </x:c>
      <x:c r="D35" s="2" t="str">
        <x:v>平日午峰</x:v>
      </x:c>
      <x:c r="E35" s="2" t="n">
        <x:v>4</x:v>
      </x:c>
      <x:c r="F35" s="2" t="n">
        <x:v>4</x:v>
      </x:c>
      <x:c r="G35" s="2" t="n">
        <x:f>IF(AND('班次明細'!$L$7&gt;0,$B35&gt;='班次明細'!$G$7,$C35&lt;='班次明細'!$H$7,OR('班次明細'!$K$7=0,$C35&lt;='班次明細'!$I$7,$B35&gt;='班次明細'!$J$7)),1,0)+IF(AND('班次明細'!$L$14&gt;0,$B35&gt;='班次明細'!$G$14,$C35&lt;='班次明細'!$H$14,OR('班次明細'!$K$14=0,$C35&lt;='班次明細'!$I$14,$B35&gt;='班次明細'!$J$14)),1,0)+IF(AND('班次明細'!$L$21&gt;0,$B35&gt;='班次明細'!$G$21,$C35&lt;='班次明細'!$H$21,OR('班次明細'!$K$21=0,$C35&lt;='班次明細'!$I$21,$B35&gt;='班次明細'!$J$21)),1,0)+IF(AND('班次明細'!$L$28&gt;0,$B35&gt;='班次明細'!$G$28,$C35&lt;='班次明細'!$H$28,OR('班次明細'!$K$28=0,$C35&lt;='班次明細'!$I$28,$B35&gt;='班次明細'!$J$28)),1,0)+IF(AND('班次明細'!$L$35&gt;0,$B35&gt;='班次明細'!$G$35,$C35&lt;='班次明細'!$H$35,OR('班次明細'!$K$35=0,$C35&lt;='班次明細'!$I$35,$B35&gt;='班次明細'!$J$35)),1,0)+IF(AND('班次明細'!$L$42&gt;0,$B35&gt;='班次明細'!$G$42,$C35&lt;='班次明細'!$H$42,OR('班次明細'!$K$42=0,$C35&lt;='班次明細'!$I$42,$B35&gt;='班次明細'!$J$42)),1,0)+IF(AND('班次明細'!$L$49&gt;0,$B35&gt;='班次明細'!$G$49,$C35&lt;='班次明細'!$H$49,OR('班次明細'!$K$49=0,$C35&lt;='班次明細'!$I$49,$B35&gt;='班次明細'!$J$49)),1,0)+IF(AND('班次明細'!$L$56&gt;0,$B35&gt;='班次明細'!$G$56,$C35&lt;='班次明細'!$H$56,OR('班次明細'!$K$56=0,$C35&lt;='班次明細'!$I$56,$B35&gt;='班次明細'!$J$56)),1,0)+IF(AND('班次明細'!$L$63&gt;0,$B35&gt;='班次明細'!$G$63,$C35&lt;='班次明細'!$H$63,OR('班次明細'!$K$63=0,$C35&lt;='班次明細'!$I$63,$B35&gt;='班次明細'!$J$63)),1,0)+IF(AND('班次明細'!$L$70&gt;0,$B35&gt;='班次明細'!$G$70,$C35&lt;='班次明細'!$H$70,OR('班次明細'!$K$70=0,$C35&lt;='班次明細'!$I$70,$B35&gt;='班次明細'!$J$70)),1,0)+IF(AND('班次明細'!$L$77&gt;0,$B35&gt;='班次明細'!$G$77,$C35&lt;='班次明細'!$H$77,OR('班次明細'!$K$77=0,$C35&lt;='班次明細'!$I$77,$B35&gt;='班次明細'!$J$77)),1,0)</x:f>
        <x:v>4</x:v>
      </x:c>
      <x:c r="H35" s="2" t="n">
        <x:f>MAX(0,E35-G35)</x:f>
        <x:v>0</x:v>
      </x:c>
      <x:c r="I35" s="2" t="n">
        <x:f>IF(F35="",0,MAX(0,G35-F35))</x:f>
        <x:v>0</x:v>
      </x:c>
      <x:c r="J35" s="2" t="n">
        <x:v>0</x:v>
      </x:c>
      <x:c r="K35" s="11" t="str"/>
      <x:c r="L35" s="11" t="str">
        <x:f>IF(OR(H35&gt;0,J35&gt;0),"營運參考／主管現場協調",IF(I35&gt;0,"營運參考／主管現場協調","本段人力足夠"))</x:f>
        <x:v>本段人力足夠</x:v>
      </x:c>
    </x:row>
    <x:row r="36" ht="42" customHeight="1">
      <x:c r="A36" s="12" t="n">
        <x:v>46280</x:v>
      </x:c>
      <x:c r="B36" s="13" t="n">
        <x:v>0.5416666666666666</x:v>
      </x:c>
      <x:c r="C36" s="13" t="n">
        <x:v>0.5625</x:v>
      </x:c>
      <x:c r="D36" s="2" t="str">
        <x:v>平日午峰</x:v>
      </x:c>
      <x:c r="E36" s="2" t="n">
        <x:v>4</x:v>
      </x:c>
      <x:c r="F36" s="2" t="n">
        <x:v>4</x:v>
      </x:c>
      <x:c r="G36" s="2" t="n">
        <x:f>IF(AND('班次明細'!$L$7&gt;0,$B36&gt;='班次明細'!$G$7,$C36&lt;='班次明細'!$H$7,OR('班次明細'!$K$7=0,$C36&lt;='班次明細'!$I$7,$B36&gt;='班次明細'!$J$7)),1,0)+IF(AND('班次明細'!$L$14&gt;0,$B36&gt;='班次明細'!$G$14,$C36&lt;='班次明細'!$H$14,OR('班次明細'!$K$14=0,$C36&lt;='班次明細'!$I$14,$B36&gt;='班次明細'!$J$14)),1,0)+IF(AND('班次明細'!$L$21&gt;0,$B36&gt;='班次明細'!$G$21,$C36&lt;='班次明細'!$H$21,OR('班次明細'!$K$21=0,$C36&lt;='班次明細'!$I$21,$B36&gt;='班次明細'!$J$21)),1,0)+IF(AND('班次明細'!$L$28&gt;0,$B36&gt;='班次明細'!$G$28,$C36&lt;='班次明細'!$H$28,OR('班次明細'!$K$28=0,$C36&lt;='班次明細'!$I$28,$B36&gt;='班次明細'!$J$28)),1,0)+IF(AND('班次明細'!$L$35&gt;0,$B36&gt;='班次明細'!$G$35,$C36&lt;='班次明細'!$H$35,OR('班次明細'!$K$35=0,$C36&lt;='班次明細'!$I$35,$B36&gt;='班次明細'!$J$35)),1,0)+IF(AND('班次明細'!$L$42&gt;0,$B36&gt;='班次明細'!$G$42,$C36&lt;='班次明細'!$H$42,OR('班次明細'!$K$42=0,$C36&lt;='班次明細'!$I$42,$B36&gt;='班次明細'!$J$42)),1,0)+IF(AND('班次明細'!$L$49&gt;0,$B36&gt;='班次明細'!$G$49,$C36&lt;='班次明細'!$H$49,OR('班次明細'!$K$49=0,$C36&lt;='班次明細'!$I$49,$B36&gt;='班次明細'!$J$49)),1,0)+IF(AND('班次明細'!$L$56&gt;0,$B36&gt;='班次明細'!$G$56,$C36&lt;='班次明細'!$H$56,OR('班次明細'!$K$56=0,$C36&lt;='班次明細'!$I$56,$B36&gt;='班次明細'!$J$56)),1,0)+IF(AND('班次明細'!$L$63&gt;0,$B36&gt;='班次明細'!$G$63,$C36&lt;='班次明細'!$H$63,OR('班次明細'!$K$63=0,$C36&lt;='班次明細'!$I$63,$B36&gt;='班次明細'!$J$63)),1,0)+IF(AND('班次明細'!$L$70&gt;0,$B36&gt;='班次明細'!$G$70,$C36&lt;='班次明細'!$H$70,OR('班次明細'!$K$70=0,$C36&lt;='班次明細'!$I$70,$B36&gt;='班次明細'!$J$70)),1,0)+IF(AND('班次明細'!$L$77&gt;0,$B36&gt;='班次明細'!$G$77,$C36&lt;='班次明細'!$H$77,OR('班次明細'!$K$77=0,$C36&lt;='班次明細'!$I$77,$B36&gt;='班次明細'!$J$77)),1,0)</x:f>
        <x:v>3</x:v>
      </x:c>
      <x:c r="H36" s="2" t="n">
        <x:f>MAX(0,E36-G36)</x:f>
        <x:v>1</x:v>
      </x:c>
      <x:c r="I36" s="2" t="n">
        <x:f>IF(F36="",0,MAX(0,G36-F36))</x:f>
        <x:v>0</x:v>
      </x:c>
      <x:c r="J36" s="2" t="n">
        <x:v>1</x:v>
      </x:c>
      <x:c r="K36" s="11" t="str">
        <x:v>料區</x:v>
      </x:c>
      <x:c r="L36" s="11" t="str">
        <x:f>IF(OR(H36&gt;0,J36&gt;0),"營運參考／主管現場協調",IF(I36&gt;0,"營運參考／主管現場協調","本段人力足夠"))</x:f>
        <x:v>營運參考／主管現場協調</x:v>
      </x:c>
    </x:row>
    <x:row r="37" ht="42" customHeight="1">
      <x:c r="A37" s="12" t="n">
        <x:v>46280</x:v>
      </x:c>
      <x:c r="B37" s="13" t="n">
        <x:v>0.5625</x:v>
      </x:c>
      <x:c r="C37" s="13" t="n">
        <x:v>0.5833333333333334</x:v>
      </x:c>
      <x:c r="D37" s="2" t="str">
        <x:v>平日離峰</x:v>
      </x:c>
      <x:c r="E37" s="2" t="n">
        <x:v>2</x:v>
      </x:c>
      <x:c r="F37" s="2"/>
      <x:c r="G37" s="2" t="n">
        <x:f>IF(AND('班次明細'!$L$7&gt;0,$B37&gt;='班次明細'!$G$7,$C37&lt;='班次明細'!$H$7,OR('班次明細'!$K$7=0,$C37&lt;='班次明細'!$I$7,$B37&gt;='班次明細'!$J$7)),1,0)+IF(AND('班次明細'!$L$14&gt;0,$B37&gt;='班次明細'!$G$14,$C37&lt;='班次明細'!$H$14,OR('班次明細'!$K$14=0,$C37&lt;='班次明細'!$I$14,$B37&gt;='班次明細'!$J$14)),1,0)+IF(AND('班次明細'!$L$21&gt;0,$B37&gt;='班次明細'!$G$21,$C37&lt;='班次明細'!$H$21,OR('班次明細'!$K$21=0,$C37&lt;='班次明細'!$I$21,$B37&gt;='班次明細'!$J$21)),1,0)+IF(AND('班次明細'!$L$28&gt;0,$B37&gt;='班次明細'!$G$28,$C37&lt;='班次明細'!$H$28,OR('班次明細'!$K$28=0,$C37&lt;='班次明細'!$I$28,$B37&gt;='班次明細'!$J$28)),1,0)+IF(AND('班次明細'!$L$35&gt;0,$B37&gt;='班次明細'!$G$35,$C37&lt;='班次明細'!$H$35,OR('班次明細'!$K$35=0,$C37&lt;='班次明細'!$I$35,$B37&gt;='班次明細'!$J$35)),1,0)+IF(AND('班次明細'!$L$42&gt;0,$B37&gt;='班次明細'!$G$42,$C37&lt;='班次明細'!$H$42,OR('班次明細'!$K$42=0,$C37&lt;='班次明細'!$I$42,$B37&gt;='班次明細'!$J$42)),1,0)+IF(AND('班次明細'!$L$49&gt;0,$B37&gt;='班次明細'!$G$49,$C37&lt;='班次明細'!$H$49,OR('班次明細'!$K$49=0,$C37&lt;='班次明細'!$I$49,$B37&gt;='班次明細'!$J$49)),1,0)+IF(AND('班次明細'!$L$56&gt;0,$B37&gt;='班次明細'!$G$56,$C37&lt;='班次明細'!$H$56,OR('班次明細'!$K$56=0,$C37&lt;='班次明細'!$I$56,$B37&gt;='班次明細'!$J$56)),1,0)+IF(AND('班次明細'!$L$63&gt;0,$B37&gt;='班次明細'!$G$63,$C37&lt;='班次明細'!$H$63,OR('班次明細'!$K$63=0,$C37&lt;='班次明細'!$I$63,$B37&gt;='班次明細'!$J$63)),1,0)+IF(AND('班次明細'!$L$70&gt;0,$B37&gt;='班次明細'!$G$70,$C37&lt;='班次明細'!$H$70,OR('班次明細'!$K$70=0,$C37&lt;='班次明細'!$I$70,$B37&gt;='班次明細'!$J$70)),1,0)+IF(AND('班次明細'!$L$77&gt;0,$B37&gt;='班次明細'!$G$77,$C37&lt;='班次明細'!$H$77,OR('班次明細'!$K$77=0,$C37&lt;='班次明細'!$I$77,$B37&gt;='班次明細'!$J$77)),1,0)</x:f>
        <x:v>4</x:v>
      </x:c>
      <x:c r="H37" s="2" t="n">
        <x:f>MAX(0,E37-G37)</x:f>
        <x:v>0</x:v>
      </x:c>
      <x:c r="I37" s="2" t="n">
        <x:f>IF(F37="",0,MAX(0,G37-F37))</x:f>
        <x:v>0</x:v>
      </x:c>
      <x:c r="J37" s="2" t="n">
        <x:v>0</x:v>
      </x:c>
      <x:c r="K37" s="11" t="str"/>
      <x:c r="L37" s="11" t="str">
        <x:f>IF(OR(H37&gt;0,J37&gt;0),"營運參考／主管現場協調",IF(I37&gt;0,"營運參考／主管現場協調","本段人力足夠"))</x:f>
        <x:v>本段人力足夠</x:v>
      </x:c>
    </x:row>
    <x:row r="38" ht="42" customHeight="1">
      <x:c r="A38" s="12" t="n">
        <x:v>46280</x:v>
      </x:c>
      <x:c r="B38" s="13" t="n">
        <x:v>0.5833333333333334</x:v>
      </x:c>
      <x:c r="C38" s="13" t="n">
        <x:v>0.6041666666666666</x:v>
      </x:c>
      <x:c r="D38" s="2" t="str">
        <x:v>平日離峰</x:v>
      </x:c>
      <x:c r="E38" s="2" t="n">
        <x:v>2</x:v>
      </x:c>
      <x:c r="F38" s="2"/>
      <x:c r="G38" s="2" t="n">
        <x:f>IF(AND('班次明細'!$L$7&gt;0,$B38&gt;='班次明細'!$G$7,$C38&lt;='班次明細'!$H$7,OR('班次明細'!$K$7=0,$C38&lt;='班次明細'!$I$7,$B38&gt;='班次明細'!$J$7)),1,0)+IF(AND('班次明細'!$L$14&gt;0,$B38&gt;='班次明細'!$G$14,$C38&lt;='班次明細'!$H$14,OR('班次明細'!$K$14=0,$C38&lt;='班次明細'!$I$14,$B38&gt;='班次明細'!$J$14)),1,0)+IF(AND('班次明細'!$L$21&gt;0,$B38&gt;='班次明細'!$G$21,$C38&lt;='班次明細'!$H$21,OR('班次明細'!$K$21=0,$C38&lt;='班次明細'!$I$21,$B38&gt;='班次明細'!$J$21)),1,0)+IF(AND('班次明細'!$L$28&gt;0,$B38&gt;='班次明細'!$G$28,$C38&lt;='班次明細'!$H$28,OR('班次明細'!$K$28=0,$C38&lt;='班次明細'!$I$28,$B38&gt;='班次明細'!$J$28)),1,0)+IF(AND('班次明細'!$L$35&gt;0,$B38&gt;='班次明細'!$G$35,$C38&lt;='班次明細'!$H$35,OR('班次明細'!$K$35=0,$C38&lt;='班次明細'!$I$35,$B38&gt;='班次明細'!$J$35)),1,0)+IF(AND('班次明細'!$L$42&gt;0,$B38&gt;='班次明細'!$G$42,$C38&lt;='班次明細'!$H$42,OR('班次明細'!$K$42=0,$C38&lt;='班次明細'!$I$42,$B38&gt;='班次明細'!$J$42)),1,0)+IF(AND('班次明細'!$L$49&gt;0,$B38&gt;='班次明細'!$G$49,$C38&lt;='班次明細'!$H$49,OR('班次明細'!$K$49=0,$C38&lt;='班次明細'!$I$49,$B38&gt;='班次明細'!$J$49)),1,0)+IF(AND('班次明細'!$L$56&gt;0,$B38&gt;='班次明細'!$G$56,$C38&lt;='班次明細'!$H$56,OR('班次明細'!$K$56=0,$C38&lt;='班次明細'!$I$56,$B38&gt;='班次明細'!$J$56)),1,0)+IF(AND('班次明細'!$L$63&gt;0,$B38&gt;='班次明細'!$G$63,$C38&lt;='班次明細'!$H$63,OR('班次明細'!$K$63=0,$C38&lt;='班次明細'!$I$63,$B38&gt;='班次明細'!$J$63)),1,0)+IF(AND('班次明細'!$L$70&gt;0,$B38&gt;='班次明細'!$G$70,$C38&lt;='班次明細'!$H$70,OR('班次明細'!$K$70=0,$C38&lt;='班次明細'!$I$70,$B38&gt;='班次明細'!$J$70)),1,0)+IF(AND('班次明細'!$L$77&gt;0,$B38&gt;='班次明細'!$G$77,$C38&lt;='班次明細'!$H$77,OR('班次明細'!$K$77=0,$C38&lt;='班次明細'!$I$77,$B38&gt;='班次明細'!$J$77)),1,0)</x:f>
        <x:v>4</x:v>
      </x:c>
      <x:c r="H38" s="2" t="n">
        <x:f>MAX(0,E38-G38)</x:f>
        <x:v>0</x:v>
      </x:c>
      <x:c r="I38" s="2" t="n">
        <x:f>IF(F38="",0,MAX(0,G38-F38))</x:f>
        <x:v>0</x:v>
      </x:c>
      <x:c r="J38" s="2" t="n">
        <x:v>0</x:v>
      </x:c>
      <x:c r="K38" s="11" t="str"/>
      <x:c r="L38" s="11" t="str">
        <x:f>IF(OR(H38&gt;0,J38&gt;0),"營運參考／主管現場協調",IF(I38&gt;0,"營運參考／主管現場協調","本段人力足夠"))</x:f>
        <x:v>本段人力足夠</x:v>
      </x:c>
    </x:row>
    <x:row r="39" ht="42" customHeight="1">
      <x:c r="A39" s="12" t="n">
        <x:v>46280</x:v>
      </x:c>
      <x:c r="B39" s="13" t="n">
        <x:v>0.6041666666666666</x:v>
      </x:c>
      <x:c r="C39" s="13" t="n">
        <x:v>0.625</x:v>
      </x:c>
      <x:c r="D39" s="2" t="str">
        <x:v>平日離峰</x:v>
      </x:c>
      <x:c r="E39" s="2" t="n">
        <x:v>2</x:v>
      </x:c>
      <x:c r="F39" s="2"/>
      <x:c r="G39" s="2" t="n">
        <x:f>IF(AND('班次明細'!$L$7&gt;0,$B39&gt;='班次明細'!$G$7,$C39&lt;='班次明細'!$H$7,OR('班次明細'!$K$7=0,$C39&lt;='班次明細'!$I$7,$B39&gt;='班次明細'!$J$7)),1,0)+IF(AND('班次明細'!$L$14&gt;0,$B39&gt;='班次明細'!$G$14,$C39&lt;='班次明細'!$H$14,OR('班次明細'!$K$14=0,$C39&lt;='班次明細'!$I$14,$B39&gt;='班次明細'!$J$14)),1,0)+IF(AND('班次明細'!$L$21&gt;0,$B39&gt;='班次明細'!$G$21,$C39&lt;='班次明細'!$H$21,OR('班次明細'!$K$21=0,$C39&lt;='班次明細'!$I$21,$B39&gt;='班次明細'!$J$21)),1,0)+IF(AND('班次明細'!$L$28&gt;0,$B39&gt;='班次明細'!$G$28,$C39&lt;='班次明細'!$H$28,OR('班次明細'!$K$28=0,$C39&lt;='班次明細'!$I$28,$B39&gt;='班次明細'!$J$28)),1,0)+IF(AND('班次明細'!$L$35&gt;0,$B39&gt;='班次明細'!$G$35,$C39&lt;='班次明細'!$H$35,OR('班次明細'!$K$35=0,$C39&lt;='班次明細'!$I$35,$B39&gt;='班次明細'!$J$35)),1,0)+IF(AND('班次明細'!$L$42&gt;0,$B39&gt;='班次明細'!$G$42,$C39&lt;='班次明細'!$H$42,OR('班次明細'!$K$42=0,$C39&lt;='班次明細'!$I$42,$B39&gt;='班次明細'!$J$42)),1,0)+IF(AND('班次明細'!$L$49&gt;0,$B39&gt;='班次明細'!$G$49,$C39&lt;='班次明細'!$H$49,OR('班次明細'!$K$49=0,$C39&lt;='班次明細'!$I$49,$B39&gt;='班次明細'!$J$49)),1,0)+IF(AND('班次明細'!$L$56&gt;0,$B39&gt;='班次明細'!$G$56,$C39&lt;='班次明細'!$H$56,OR('班次明細'!$K$56=0,$C39&lt;='班次明細'!$I$56,$B39&gt;='班次明細'!$J$56)),1,0)+IF(AND('班次明細'!$L$63&gt;0,$B39&gt;='班次明細'!$G$63,$C39&lt;='班次明細'!$H$63,OR('班次明細'!$K$63=0,$C39&lt;='班次明細'!$I$63,$B39&gt;='班次明細'!$J$63)),1,0)+IF(AND('班次明細'!$L$70&gt;0,$B39&gt;='班次明細'!$G$70,$C39&lt;='班次明細'!$H$70,OR('班次明細'!$K$70=0,$C39&lt;='班次明細'!$I$70,$B39&gt;='班次明細'!$J$70)),1,0)+IF(AND('班次明細'!$L$77&gt;0,$B39&gt;='班次明細'!$G$77,$C39&lt;='班次明細'!$H$77,OR('班次明細'!$K$77=0,$C39&lt;='班次明細'!$I$77,$B39&gt;='班次明細'!$J$77)),1,0)</x:f>
        <x:v>3</x:v>
      </x:c>
      <x:c r="H39" s="2" t="n">
        <x:f>MAX(0,E39-G39)</x:f>
        <x:v>0</x:v>
      </x:c>
      <x:c r="I39" s="2" t="n">
        <x:f>IF(F39="",0,MAX(0,G39-F39))</x:f>
        <x:v>0</x:v>
      </x:c>
      <x:c r="J39" s="2" t="n">
        <x:v>0</x:v>
      </x:c>
      <x:c r="K39" s="11" t="str"/>
      <x:c r="L39" s="11" t="str">
        <x:f>IF(OR(H39&gt;0,J39&gt;0),"營運參考／主管現場協調",IF(I39&gt;0,"營運參考／主管現場協調","本段人力足夠"))</x:f>
        <x:v>本段人力足夠</x:v>
      </x:c>
    </x:row>
    <x:row r="40" ht="42" customHeight="1">
      <x:c r="A40" s="12" t="n">
        <x:v>46280</x:v>
      </x:c>
      <x:c r="B40" s="13" t="n">
        <x:v>0.625</x:v>
      </x:c>
      <x:c r="C40" s="13" t="n">
        <x:v>0.6458333333333334</x:v>
      </x:c>
      <x:c r="D40" s="2" t="str">
        <x:v>平日離峰</x:v>
      </x:c>
      <x:c r="E40" s="2" t="n">
        <x:v>2</x:v>
      </x:c>
      <x:c r="F40" s="2"/>
      <x:c r="G40" s="2" t="n">
        <x:f>IF(AND('班次明細'!$L$7&gt;0,$B40&gt;='班次明細'!$G$7,$C40&lt;='班次明細'!$H$7,OR('班次明細'!$K$7=0,$C40&lt;='班次明細'!$I$7,$B40&gt;='班次明細'!$J$7)),1,0)+IF(AND('班次明細'!$L$14&gt;0,$B40&gt;='班次明細'!$G$14,$C40&lt;='班次明細'!$H$14,OR('班次明細'!$K$14=0,$C40&lt;='班次明細'!$I$14,$B40&gt;='班次明細'!$J$14)),1,0)+IF(AND('班次明細'!$L$21&gt;0,$B40&gt;='班次明細'!$G$21,$C40&lt;='班次明細'!$H$21,OR('班次明細'!$K$21=0,$C40&lt;='班次明細'!$I$21,$B40&gt;='班次明細'!$J$21)),1,0)+IF(AND('班次明細'!$L$28&gt;0,$B40&gt;='班次明細'!$G$28,$C40&lt;='班次明細'!$H$28,OR('班次明細'!$K$28=0,$C40&lt;='班次明細'!$I$28,$B40&gt;='班次明細'!$J$28)),1,0)+IF(AND('班次明細'!$L$35&gt;0,$B40&gt;='班次明細'!$G$35,$C40&lt;='班次明細'!$H$35,OR('班次明細'!$K$35=0,$C40&lt;='班次明細'!$I$35,$B40&gt;='班次明細'!$J$35)),1,0)+IF(AND('班次明細'!$L$42&gt;0,$B40&gt;='班次明細'!$G$42,$C40&lt;='班次明細'!$H$42,OR('班次明細'!$K$42=0,$C40&lt;='班次明細'!$I$42,$B40&gt;='班次明細'!$J$42)),1,0)+IF(AND('班次明細'!$L$49&gt;0,$B40&gt;='班次明細'!$G$49,$C40&lt;='班次明細'!$H$49,OR('班次明細'!$K$49=0,$C40&lt;='班次明細'!$I$49,$B40&gt;='班次明細'!$J$49)),1,0)+IF(AND('班次明細'!$L$56&gt;0,$B40&gt;='班次明細'!$G$56,$C40&lt;='班次明細'!$H$56,OR('班次明細'!$K$56=0,$C40&lt;='班次明細'!$I$56,$B40&gt;='班次明細'!$J$56)),1,0)+IF(AND('班次明細'!$L$63&gt;0,$B40&gt;='班次明細'!$G$63,$C40&lt;='班次明細'!$H$63,OR('班次明細'!$K$63=0,$C40&lt;='班次明細'!$I$63,$B40&gt;='班次明細'!$J$63)),1,0)+IF(AND('班次明細'!$L$70&gt;0,$B40&gt;='班次明細'!$G$70,$C40&lt;='班次明細'!$H$70,OR('班次明細'!$K$70=0,$C40&lt;='班次明細'!$I$70,$B40&gt;='班次明細'!$J$70)),1,0)+IF(AND('班次明細'!$L$77&gt;0,$B40&gt;='班次明細'!$G$77,$C40&lt;='班次明細'!$H$77,OR('班次明細'!$K$77=0,$C40&lt;='班次明細'!$I$77,$B40&gt;='班次明細'!$J$77)),1,0)</x:f>
        <x:v>2</x:v>
      </x:c>
      <x:c r="H40" s="2" t="n">
        <x:f>MAX(0,E40-G40)</x:f>
        <x:v>0</x:v>
      </x:c>
      <x:c r="I40" s="2" t="n">
        <x:f>IF(F40="",0,MAX(0,G40-F40))</x:f>
        <x:v>0</x:v>
      </x:c>
      <x:c r="J40" s="2" t="n">
        <x:v>0</x:v>
      </x:c>
      <x:c r="K40" s="11" t="str"/>
      <x:c r="L40" s="11" t="str">
        <x:f>IF(OR(H40&gt;0,J40&gt;0),"營運參考／主管現場協調",IF(I40&gt;0,"營運參考／主管現場協調","本段人力足夠"))</x:f>
        <x:v>本段人力足夠</x:v>
      </x:c>
    </x:row>
    <x:row r="41" ht="42" customHeight="1">
      <x:c r="A41" s="12" t="n">
        <x:v>46280</x:v>
      </x:c>
      <x:c r="B41" s="13" t="n">
        <x:v>0.6458333333333334</x:v>
      </x:c>
      <x:c r="C41" s="13" t="n">
        <x:v>0.6666666666666666</x:v>
      </x:c>
      <x:c r="D41" s="2" t="str">
        <x:v>平日離峰</x:v>
      </x:c>
      <x:c r="E41" s="2" t="n">
        <x:v>2</x:v>
      </x:c>
      <x:c r="F41" s="2"/>
      <x:c r="G41" s="2" t="n">
        <x:f>IF(AND('班次明細'!$L$7&gt;0,$B41&gt;='班次明細'!$G$7,$C41&lt;='班次明細'!$H$7,OR('班次明細'!$K$7=0,$C41&lt;='班次明細'!$I$7,$B41&gt;='班次明細'!$J$7)),1,0)+IF(AND('班次明細'!$L$14&gt;0,$B41&gt;='班次明細'!$G$14,$C41&lt;='班次明細'!$H$14,OR('班次明細'!$K$14=0,$C41&lt;='班次明細'!$I$14,$B41&gt;='班次明細'!$J$14)),1,0)+IF(AND('班次明細'!$L$21&gt;0,$B41&gt;='班次明細'!$G$21,$C41&lt;='班次明細'!$H$21,OR('班次明細'!$K$21=0,$C41&lt;='班次明細'!$I$21,$B41&gt;='班次明細'!$J$21)),1,0)+IF(AND('班次明細'!$L$28&gt;0,$B41&gt;='班次明細'!$G$28,$C41&lt;='班次明細'!$H$28,OR('班次明細'!$K$28=0,$C41&lt;='班次明細'!$I$28,$B41&gt;='班次明細'!$J$28)),1,0)+IF(AND('班次明細'!$L$35&gt;0,$B41&gt;='班次明細'!$G$35,$C41&lt;='班次明細'!$H$35,OR('班次明細'!$K$35=0,$C41&lt;='班次明細'!$I$35,$B41&gt;='班次明細'!$J$35)),1,0)+IF(AND('班次明細'!$L$42&gt;0,$B41&gt;='班次明細'!$G$42,$C41&lt;='班次明細'!$H$42,OR('班次明細'!$K$42=0,$C41&lt;='班次明細'!$I$42,$B41&gt;='班次明細'!$J$42)),1,0)+IF(AND('班次明細'!$L$49&gt;0,$B41&gt;='班次明細'!$G$49,$C41&lt;='班次明細'!$H$49,OR('班次明細'!$K$49=0,$C41&lt;='班次明細'!$I$49,$B41&gt;='班次明細'!$J$49)),1,0)+IF(AND('班次明細'!$L$56&gt;0,$B41&gt;='班次明細'!$G$56,$C41&lt;='班次明細'!$H$56,OR('班次明細'!$K$56=0,$C41&lt;='班次明細'!$I$56,$B41&gt;='班次明細'!$J$56)),1,0)+IF(AND('班次明細'!$L$63&gt;0,$B41&gt;='班次明細'!$G$63,$C41&lt;='班次明細'!$H$63,OR('班次明細'!$K$63=0,$C41&lt;='班次明細'!$I$63,$B41&gt;='班次明細'!$J$63)),1,0)+IF(AND('班次明細'!$L$70&gt;0,$B41&gt;='班次明細'!$G$70,$C41&lt;='班次明細'!$H$70,OR('班次明細'!$K$70=0,$C41&lt;='班次明細'!$I$70,$B41&gt;='班次明細'!$J$70)),1,0)+IF(AND('班次明細'!$L$77&gt;0,$B41&gt;='班次明細'!$G$77,$C41&lt;='班次明細'!$H$77,OR('班次明細'!$K$77=0,$C41&lt;='班次明細'!$I$77,$B41&gt;='班次明細'!$J$77)),1,0)</x:f>
        <x:v>0</x:v>
      </x:c>
      <x:c r="H41" s="2" t="n">
        <x:f>MAX(0,E41-G41)</x:f>
        <x:v>2</x:v>
      </x:c>
      <x:c r="I41" s="2" t="n">
        <x:f>IF(F41="",0,MAX(0,G41-F41))</x:f>
        <x:v>0</x:v>
      </x:c>
      <x:c r="J41" s="2" t="n">
        <x:v>2</x:v>
      </x:c>
      <x:c r="K41" s="11" t="str"/>
      <x:c r="L41" s="11" t="str">
        <x:f>IF(OR(H41&gt;0,J41&gt;0),"營運參考／主管現場協調",IF(I41&gt;0,"營運參考／主管現場協調","本段人力足夠"))</x:f>
        <x:v>營運參考／主管現場協調</x:v>
      </x:c>
    </x:row>
    <x:row r="42" ht="42" customHeight="1">
      <x:c r="A42" s="12" t="n">
        <x:v>46280</x:v>
      </x:c>
      <x:c r="B42" s="13" t="n">
        <x:v>0.6666666666666666</x:v>
      </x:c>
      <x:c r="C42" s="13" t="n">
        <x:v>0.6875</x:v>
      </x:c>
      <x:c r="D42" s="2" t="str">
        <x:v>平日離峰</x:v>
      </x:c>
      <x:c r="E42" s="2" t="n">
        <x:v>2</x:v>
      </x:c>
      <x:c r="F42" s="2"/>
      <x:c r="G42" s="2" t="n">
        <x:f>IF(AND('班次明細'!$L$7&gt;0,$B42&gt;='班次明細'!$G$7,$C42&lt;='班次明細'!$H$7,OR('班次明細'!$K$7=0,$C42&lt;='班次明細'!$I$7,$B42&gt;='班次明細'!$J$7)),1,0)+IF(AND('班次明細'!$L$14&gt;0,$B42&gt;='班次明細'!$G$14,$C42&lt;='班次明細'!$H$14,OR('班次明細'!$K$14=0,$C42&lt;='班次明細'!$I$14,$B42&gt;='班次明細'!$J$14)),1,0)+IF(AND('班次明細'!$L$21&gt;0,$B42&gt;='班次明細'!$G$21,$C42&lt;='班次明細'!$H$21,OR('班次明細'!$K$21=0,$C42&lt;='班次明細'!$I$21,$B42&gt;='班次明細'!$J$21)),1,0)+IF(AND('班次明細'!$L$28&gt;0,$B42&gt;='班次明細'!$G$28,$C42&lt;='班次明細'!$H$28,OR('班次明細'!$K$28=0,$C42&lt;='班次明細'!$I$28,$B42&gt;='班次明細'!$J$28)),1,0)+IF(AND('班次明細'!$L$35&gt;0,$B42&gt;='班次明細'!$G$35,$C42&lt;='班次明細'!$H$35,OR('班次明細'!$K$35=0,$C42&lt;='班次明細'!$I$35,$B42&gt;='班次明細'!$J$35)),1,0)+IF(AND('班次明細'!$L$42&gt;0,$B42&gt;='班次明細'!$G$42,$C42&lt;='班次明細'!$H$42,OR('班次明細'!$K$42=0,$C42&lt;='班次明細'!$I$42,$B42&gt;='班次明細'!$J$42)),1,0)+IF(AND('班次明細'!$L$49&gt;0,$B42&gt;='班次明細'!$G$49,$C42&lt;='班次明細'!$H$49,OR('班次明細'!$K$49=0,$C42&lt;='班次明細'!$I$49,$B42&gt;='班次明細'!$J$49)),1,0)+IF(AND('班次明細'!$L$56&gt;0,$B42&gt;='班次明細'!$G$56,$C42&lt;='班次明細'!$H$56,OR('班次明細'!$K$56=0,$C42&lt;='班次明細'!$I$56,$B42&gt;='班次明細'!$J$56)),1,0)+IF(AND('班次明細'!$L$63&gt;0,$B42&gt;='班次明細'!$G$63,$C42&lt;='班次明細'!$H$63,OR('班次明細'!$K$63=0,$C42&lt;='班次明細'!$I$63,$B42&gt;='班次明細'!$J$63)),1,0)+IF(AND('班次明細'!$L$70&gt;0,$B42&gt;='班次明細'!$G$70,$C42&lt;='班次明細'!$H$70,OR('班次明細'!$K$70=0,$C42&lt;='班次明細'!$I$70,$B42&gt;='班次明細'!$J$70)),1,0)+IF(AND('班次明細'!$L$77&gt;0,$B42&gt;='班次明細'!$G$77,$C42&lt;='班次明細'!$H$77,OR('班次明細'!$K$77=0,$C42&lt;='班次明細'!$I$77,$B42&gt;='班次明細'!$J$77)),1,0)</x:f>
        <x:v>0</x:v>
      </x:c>
      <x:c r="H42" s="2" t="n">
        <x:f>MAX(0,E42-G42)</x:f>
        <x:v>2</x:v>
      </x:c>
      <x:c r="I42" s="2" t="n">
        <x:f>IF(F42="",0,MAX(0,G42-F42))</x:f>
        <x:v>0</x:v>
      </x:c>
      <x:c r="J42" s="2" t="n">
        <x:v>2</x:v>
      </x:c>
      <x:c r="K42" s="11" t="str"/>
      <x:c r="L42" s="11" t="str">
        <x:f>IF(OR(H42&gt;0,J42&gt;0),"營運參考／主管現場協調",IF(I42&gt;0,"營運參考／主管現場協調","本段人力足夠"))</x:f>
        <x:v>營運參考／主管現場協調</x:v>
      </x:c>
    </x:row>
    <x:row r="43" ht="42" customHeight="1">
      <x:c r="A43" s="12" t="n">
        <x:v>46280</x:v>
      </x:c>
      <x:c r="B43" s="13" t="n">
        <x:v>0.6875</x:v>
      </x:c>
      <x:c r="C43" s="13" t="n">
        <x:v>0.7083333333333334</x:v>
      </x:c>
      <x:c r="D43" s="2" t="str">
        <x:v>平日離峰</x:v>
      </x:c>
      <x:c r="E43" s="2" t="n">
        <x:v>2</x:v>
      </x:c>
      <x:c r="F43" s="2"/>
      <x:c r="G43" s="2" t="n">
        <x:f>IF(AND('班次明細'!$L$7&gt;0,$B43&gt;='班次明細'!$G$7,$C43&lt;='班次明細'!$H$7,OR('班次明細'!$K$7=0,$C43&lt;='班次明細'!$I$7,$B43&gt;='班次明細'!$J$7)),1,0)+IF(AND('班次明細'!$L$14&gt;0,$B43&gt;='班次明細'!$G$14,$C43&lt;='班次明細'!$H$14,OR('班次明細'!$K$14=0,$C43&lt;='班次明細'!$I$14,$B43&gt;='班次明細'!$J$14)),1,0)+IF(AND('班次明細'!$L$21&gt;0,$B43&gt;='班次明細'!$G$21,$C43&lt;='班次明細'!$H$21,OR('班次明細'!$K$21=0,$C43&lt;='班次明細'!$I$21,$B43&gt;='班次明細'!$J$21)),1,0)+IF(AND('班次明細'!$L$28&gt;0,$B43&gt;='班次明細'!$G$28,$C43&lt;='班次明細'!$H$28,OR('班次明細'!$K$28=0,$C43&lt;='班次明細'!$I$28,$B43&gt;='班次明細'!$J$28)),1,0)+IF(AND('班次明細'!$L$35&gt;0,$B43&gt;='班次明細'!$G$35,$C43&lt;='班次明細'!$H$35,OR('班次明細'!$K$35=0,$C43&lt;='班次明細'!$I$35,$B43&gt;='班次明細'!$J$35)),1,0)+IF(AND('班次明細'!$L$42&gt;0,$B43&gt;='班次明細'!$G$42,$C43&lt;='班次明細'!$H$42,OR('班次明細'!$K$42=0,$C43&lt;='班次明細'!$I$42,$B43&gt;='班次明細'!$J$42)),1,0)+IF(AND('班次明細'!$L$49&gt;0,$B43&gt;='班次明細'!$G$49,$C43&lt;='班次明細'!$H$49,OR('班次明細'!$K$49=0,$C43&lt;='班次明細'!$I$49,$B43&gt;='班次明細'!$J$49)),1,0)+IF(AND('班次明細'!$L$56&gt;0,$B43&gt;='班次明細'!$G$56,$C43&lt;='班次明細'!$H$56,OR('班次明細'!$K$56=0,$C43&lt;='班次明細'!$I$56,$B43&gt;='班次明細'!$J$56)),1,0)+IF(AND('班次明細'!$L$63&gt;0,$B43&gt;='班次明細'!$G$63,$C43&lt;='班次明細'!$H$63,OR('班次明細'!$K$63=0,$C43&lt;='班次明細'!$I$63,$B43&gt;='班次明細'!$J$63)),1,0)+IF(AND('班次明細'!$L$70&gt;0,$B43&gt;='班次明細'!$G$70,$C43&lt;='班次明細'!$H$70,OR('班次明細'!$K$70=0,$C43&lt;='班次明細'!$I$70,$B43&gt;='班次明細'!$J$70)),1,0)+IF(AND('班次明細'!$L$77&gt;0,$B43&gt;='班次明細'!$G$77,$C43&lt;='班次明細'!$H$77,OR('班次明細'!$K$77=0,$C43&lt;='班次明細'!$I$77,$B43&gt;='班次明細'!$J$77)),1,0)</x:f>
        <x:v>1</x:v>
      </x:c>
      <x:c r="H43" s="2" t="n">
        <x:f>MAX(0,E43-G43)</x:f>
        <x:v>1</x:v>
      </x:c>
      <x:c r="I43" s="2" t="n">
        <x:f>IF(F43="",0,MAX(0,G43-F43))</x:f>
        <x:v>0</x:v>
      </x:c>
      <x:c r="J43" s="2" t="n">
        <x:v>1</x:v>
      </x:c>
      <x:c r="K43" s="11" t="str"/>
      <x:c r="L43" s="11" t="str">
        <x:f>IF(OR(H43&gt;0,J43&gt;0),"營運參考／主管現場協調",IF(I43&gt;0,"營運參考／主管現場協調","本段人力足夠"))</x:f>
        <x:v>營運參考／主管現場協調</x:v>
      </x:c>
    </x:row>
    <x:row r="44" ht="42" customHeight="1">
      <x:c r="A44" s="12" t="n">
        <x:v>46280</x:v>
      </x:c>
      <x:c r="B44" s="13" t="n">
        <x:v>0.7083333333333334</x:v>
      </x:c>
      <x:c r="C44" s="13" t="n">
        <x:v>0.7291666666666666</x:v>
      </x:c>
      <x:c r="D44" s="2" t="str">
        <x:v>平日離峰</x:v>
      </x:c>
      <x:c r="E44" s="2" t="n">
        <x:v>2</x:v>
      </x:c>
      <x:c r="F44" s="2"/>
      <x:c r="G44" s="2" t="n">
        <x:f>IF(AND('班次明細'!$L$7&gt;0,$B44&gt;='班次明細'!$G$7,$C44&lt;='班次明細'!$H$7,OR('班次明細'!$K$7=0,$C44&lt;='班次明細'!$I$7,$B44&gt;='班次明細'!$J$7)),1,0)+IF(AND('班次明細'!$L$14&gt;0,$B44&gt;='班次明細'!$G$14,$C44&lt;='班次明細'!$H$14,OR('班次明細'!$K$14=0,$C44&lt;='班次明細'!$I$14,$B44&gt;='班次明細'!$J$14)),1,0)+IF(AND('班次明細'!$L$21&gt;0,$B44&gt;='班次明細'!$G$21,$C44&lt;='班次明細'!$H$21,OR('班次明細'!$K$21=0,$C44&lt;='班次明細'!$I$21,$B44&gt;='班次明細'!$J$21)),1,0)+IF(AND('班次明細'!$L$28&gt;0,$B44&gt;='班次明細'!$G$28,$C44&lt;='班次明細'!$H$28,OR('班次明細'!$K$28=0,$C44&lt;='班次明細'!$I$28,$B44&gt;='班次明細'!$J$28)),1,0)+IF(AND('班次明細'!$L$35&gt;0,$B44&gt;='班次明細'!$G$35,$C44&lt;='班次明細'!$H$35,OR('班次明細'!$K$35=0,$C44&lt;='班次明細'!$I$35,$B44&gt;='班次明細'!$J$35)),1,0)+IF(AND('班次明細'!$L$42&gt;0,$B44&gt;='班次明細'!$G$42,$C44&lt;='班次明細'!$H$42,OR('班次明細'!$K$42=0,$C44&lt;='班次明細'!$I$42,$B44&gt;='班次明細'!$J$42)),1,0)+IF(AND('班次明細'!$L$49&gt;0,$B44&gt;='班次明細'!$G$49,$C44&lt;='班次明細'!$H$49,OR('班次明細'!$K$49=0,$C44&lt;='班次明細'!$I$49,$B44&gt;='班次明細'!$J$49)),1,0)+IF(AND('班次明細'!$L$56&gt;0,$B44&gt;='班次明細'!$G$56,$C44&lt;='班次明細'!$H$56,OR('班次明細'!$K$56=0,$C44&lt;='班次明細'!$I$56,$B44&gt;='班次明細'!$J$56)),1,0)+IF(AND('班次明細'!$L$63&gt;0,$B44&gt;='班次明細'!$G$63,$C44&lt;='班次明細'!$H$63,OR('班次明細'!$K$63=0,$C44&lt;='班次明細'!$I$63,$B44&gt;='班次明細'!$J$63)),1,0)+IF(AND('班次明細'!$L$70&gt;0,$B44&gt;='班次明細'!$G$70,$C44&lt;='班次明細'!$H$70,OR('班次明細'!$K$70=0,$C44&lt;='班次明細'!$I$70,$B44&gt;='班次明細'!$J$70)),1,0)+IF(AND('班次明細'!$L$77&gt;0,$B44&gt;='班次明細'!$G$77,$C44&lt;='班次明細'!$H$77,OR('班次明細'!$K$77=0,$C44&lt;='班次明細'!$I$77,$B44&gt;='班次明細'!$J$77)),1,0)</x:f>
        <x:v>2</x:v>
      </x:c>
      <x:c r="H44" s="2" t="n">
        <x:f>MAX(0,E44-G44)</x:f>
        <x:v>0</x:v>
      </x:c>
      <x:c r="I44" s="2" t="n">
        <x:f>IF(F44="",0,MAX(0,G44-F44))</x:f>
        <x:v>0</x:v>
      </x:c>
      <x:c r="J44" s="2" t="n">
        <x:v>0</x:v>
      </x:c>
      <x:c r="K44" s="11" t="str"/>
      <x:c r="L44" s="11" t="str">
        <x:f>IF(OR(H44&gt;0,J44&gt;0),"營運參考／主管現場協調",IF(I44&gt;0,"營運參考／主管現場協調","本段人力足夠"))</x:f>
        <x:v>本段人力足夠</x:v>
      </x:c>
    </x:row>
    <x:row r="45" ht="42" customHeight="1">
      <x:c r="A45" s="12" t="n">
        <x:v>46280</x:v>
      </x:c>
      <x:c r="B45" s="13" t="n">
        <x:v>0.7291666666666666</x:v>
      </x:c>
      <x:c r="C45" s="13" t="n">
        <x:v>0.75</x:v>
      </x:c>
      <x:c r="D45" s="2" t="str">
        <x:v>平日晚峰</x:v>
      </x:c>
      <x:c r="E45" s="2" t="n">
        <x:v>5</x:v>
      </x:c>
      <x:c r="F45" s="2" t="n">
        <x:v>5</x:v>
      </x:c>
      <x:c r="G45" s="2" t="n">
        <x:f>IF(AND('班次明細'!$L$7&gt;0,$B45&gt;='班次明細'!$G$7,$C45&lt;='班次明細'!$H$7,OR('班次明細'!$K$7=0,$C45&lt;='班次明細'!$I$7,$B45&gt;='班次明細'!$J$7)),1,0)+IF(AND('班次明細'!$L$14&gt;0,$B45&gt;='班次明細'!$G$14,$C45&lt;='班次明細'!$H$14,OR('班次明細'!$K$14=0,$C45&lt;='班次明細'!$I$14,$B45&gt;='班次明細'!$J$14)),1,0)+IF(AND('班次明細'!$L$21&gt;0,$B45&gt;='班次明細'!$G$21,$C45&lt;='班次明細'!$H$21,OR('班次明細'!$K$21=0,$C45&lt;='班次明細'!$I$21,$B45&gt;='班次明細'!$J$21)),1,0)+IF(AND('班次明細'!$L$28&gt;0,$B45&gt;='班次明細'!$G$28,$C45&lt;='班次明細'!$H$28,OR('班次明細'!$K$28=0,$C45&lt;='班次明細'!$I$28,$B45&gt;='班次明細'!$J$28)),1,0)+IF(AND('班次明細'!$L$35&gt;0,$B45&gt;='班次明細'!$G$35,$C45&lt;='班次明細'!$H$35,OR('班次明細'!$K$35=0,$C45&lt;='班次明細'!$I$35,$B45&gt;='班次明細'!$J$35)),1,0)+IF(AND('班次明細'!$L$42&gt;0,$B45&gt;='班次明細'!$G$42,$C45&lt;='班次明細'!$H$42,OR('班次明細'!$K$42=0,$C45&lt;='班次明細'!$I$42,$B45&gt;='班次明細'!$J$42)),1,0)+IF(AND('班次明細'!$L$49&gt;0,$B45&gt;='班次明細'!$G$49,$C45&lt;='班次明細'!$H$49,OR('班次明細'!$K$49=0,$C45&lt;='班次明細'!$I$49,$B45&gt;='班次明細'!$J$49)),1,0)+IF(AND('班次明細'!$L$56&gt;0,$B45&gt;='班次明細'!$G$56,$C45&lt;='班次明細'!$H$56,OR('班次明細'!$K$56=0,$C45&lt;='班次明細'!$I$56,$B45&gt;='班次明細'!$J$56)),1,0)+IF(AND('班次明細'!$L$63&gt;0,$B45&gt;='班次明細'!$G$63,$C45&lt;='班次明細'!$H$63,OR('班次明細'!$K$63=0,$C45&lt;='班次明細'!$I$63,$B45&gt;='班次明細'!$J$63)),1,0)+IF(AND('班次明細'!$L$70&gt;0,$B45&gt;='班次明細'!$G$70,$C45&lt;='班次明細'!$H$70,OR('班次明細'!$K$70=0,$C45&lt;='班次明細'!$I$70,$B45&gt;='班次明細'!$J$70)),1,0)+IF(AND('班次明細'!$L$77&gt;0,$B45&gt;='班次明細'!$G$77,$C45&lt;='班次明細'!$H$77,OR('班次明細'!$K$77=0,$C45&lt;='班次明細'!$I$77,$B45&gt;='班次明細'!$J$77)),1,0)</x:f>
        <x:v>4</x:v>
      </x:c>
      <x:c r="H45" s="2" t="n">
        <x:f>MAX(0,E45-G45)</x:f>
        <x:v>1</x:v>
      </x:c>
      <x:c r="I45" s="2" t="n">
        <x:f>IF(F45="",0,MAX(0,G45-F45))</x:f>
        <x:v>0</x:v>
      </x:c>
      <x:c r="J45" s="2" t="n">
        <x:v>1</x:v>
      </x:c>
      <x:c r="K45" s="11" t="str">
        <x:v>吧台</x:v>
      </x:c>
      <x:c r="L45" s="11" t="str">
        <x:f>IF(OR(H45&gt;0,J45&gt;0),"營運參考／主管現場協調",IF(I45&gt;0,"營運參考／主管現場協調","本段人力足夠"))</x:f>
        <x:v>營運參考／主管現場協調</x:v>
      </x:c>
    </x:row>
    <x:row r="46" ht="42" customHeight="1">
      <x:c r="A46" s="12" t="n">
        <x:v>46280</x:v>
      </x:c>
      <x:c r="B46" s="13" t="n">
        <x:v>0.75</x:v>
      </x:c>
      <x:c r="C46" s="13" t="n">
        <x:v>0.7708333333333334</x:v>
      </x:c>
      <x:c r="D46" s="2" t="str">
        <x:v>平日晚峰</x:v>
      </x:c>
      <x:c r="E46" s="2" t="n">
        <x:v>5</x:v>
      </x:c>
      <x:c r="F46" s="2" t="n">
        <x:v>5</x:v>
      </x:c>
      <x:c r="G46" s="2" t="n">
        <x:f>IF(AND('班次明細'!$L$7&gt;0,$B46&gt;='班次明細'!$G$7,$C46&lt;='班次明細'!$H$7,OR('班次明細'!$K$7=0,$C46&lt;='班次明細'!$I$7,$B46&gt;='班次明細'!$J$7)),1,0)+IF(AND('班次明細'!$L$14&gt;0,$B46&gt;='班次明細'!$G$14,$C46&lt;='班次明細'!$H$14,OR('班次明細'!$K$14=0,$C46&lt;='班次明細'!$I$14,$B46&gt;='班次明細'!$J$14)),1,0)+IF(AND('班次明細'!$L$21&gt;0,$B46&gt;='班次明細'!$G$21,$C46&lt;='班次明細'!$H$21,OR('班次明細'!$K$21=0,$C46&lt;='班次明細'!$I$21,$B46&gt;='班次明細'!$J$21)),1,0)+IF(AND('班次明細'!$L$28&gt;0,$B46&gt;='班次明細'!$G$28,$C46&lt;='班次明細'!$H$28,OR('班次明細'!$K$28=0,$C46&lt;='班次明細'!$I$28,$B46&gt;='班次明細'!$J$28)),1,0)+IF(AND('班次明細'!$L$35&gt;0,$B46&gt;='班次明細'!$G$35,$C46&lt;='班次明細'!$H$35,OR('班次明細'!$K$35=0,$C46&lt;='班次明細'!$I$35,$B46&gt;='班次明細'!$J$35)),1,0)+IF(AND('班次明細'!$L$42&gt;0,$B46&gt;='班次明細'!$G$42,$C46&lt;='班次明細'!$H$42,OR('班次明細'!$K$42=0,$C46&lt;='班次明細'!$I$42,$B46&gt;='班次明細'!$J$42)),1,0)+IF(AND('班次明細'!$L$49&gt;0,$B46&gt;='班次明細'!$G$49,$C46&lt;='班次明細'!$H$49,OR('班次明細'!$K$49=0,$C46&lt;='班次明細'!$I$49,$B46&gt;='班次明細'!$J$49)),1,0)+IF(AND('班次明細'!$L$56&gt;0,$B46&gt;='班次明細'!$G$56,$C46&lt;='班次明細'!$H$56,OR('班次明細'!$K$56=0,$C46&lt;='班次明細'!$I$56,$B46&gt;='班次明細'!$J$56)),1,0)+IF(AND('班次明細'!$L$63&gt;0,$B46&gt;='班次明細'!$G$63,$C46&lt;='班次明細'!$H$63,OR('班次明細'!$K$63=0,$C46&lt;='班次明細'!$I$63,$B46&gt;='班次明細'!$J$63)),1,0)+IF(AND('班次明細'!$L$70&gt;0,$B46&gt;='班次明細'!$G$70,$C46&lt;='班次明細'!$H$70,OR('班次明細'!$K$70=0,$C46&lt;='班次明細'!$I$70,$B46&gt;='班次明細'!$J$70)),1,0)+IF(AND('班次明細'!$L$77&gt;0,$B46&gt;='班次明細'!$G$77,$C46&lt;='班次明細'!$H$77,OR('班次明細'!$K$77=0,$C46&lt;='班次明細'!$I$77,$B46&gt;='班次明細'!$J$77)),1,0)</x:f>
        <x:v>5</x:v>
      </x:c>
      <x:c r="H46" s="2" t="n">
        <x:f>MAX(0,E46-G46)</x:f>
        <x:v>0</x:v>
      </x:c>
      <x:c r="I46" s="2" t="n">
        <x:f>IF(F46="",0,MAX(0,G46-F46))</x:f>
        <x:v>0</x:v>
      </x:c>
      <x:c r="J46" s="2" t="n">
        <x:v>0</x:v>
      </x:c>
      <x:c r="K46" s="11" t="str"/>
      <x:c r="L46" s="11" t="str">
        <x:f>IF(OR(H46&gt;0,J46&gt;0),"營運參考／主管現場協調",IF(I46&gt;0,"營運參考／主管現場協調","本段人力足夠"))</x:f>
        <x:v>本段人力足夠</x:v>
      </x:c>
    </x:row>
    <x:row r="47" ht="42" customHeight="1">
      <x:c r="A47" s="12" t="n">
        <x:v>46280</x:v>
      </x:c>
      <x:c r="B47" s="13" t="n">
        <x:v>0.7708333333333334</x:v>
      </x:c>
      <x:c r="C47" s="13" t="n">
        <x:v>0.7916666666666666</x:v>
      </x:c>
      <x:c r="D47" s="2" t="str">
        <x:v>平日晚峰</x:v>
      </x:c>
      <x:c r="E47" s="2" t="n">
        <x:v>5</x:v>
      </x:c>
      <x:c r="F47" s="2" t="n">
        <x:v>5</x:v>
      </x:c>
      <x:c r="G47" s="2" t="n">
        <x:f>IF(AND('班次明細'!$L$7&gt;0,$B47&gt;='班次明細'!$G$7,$C47&lt;='班次明細'!$H$7,OR('班次明細'!$K$7=0,$C47&lt;='班次明細'!$I$7,$B47&gt;='班次明細'!$J$7)),1,0)+IF(AND('班次明細'!$L$14&gt;0,$B47&gt;='班次明細'!$G$14,$C47&lt;='班次明細'!$H$14,OR('班次明細'!$K$14=0,$C47&lt;='班次明細'!$I$14,$B47&gt;='班次明細'!$J$14)),1,0)+IF(AND('班次明細'!$L$21&gt;0,$B47&gt;='班次明細'!$G$21,$C47&lt;='班次明細'!$H$21,OR('班次明細'!$K$21=0,$C47&lt;='班次明細'!$I$21,$B47&gt;='班次明細'!$J$21)),1,0)+IF(AND('班次明細'!$L$28&gt;0,$B47&gt;='班次明細'!$G$28,$C47&lt;='班次明細'!$H$28,OR('班次明細'!$K$28=0,$C47&lt;='班次明細'!$I$28,$B47&gt;='班次明細'!$J$28)),1,0)+IF(AND('班次明細'!$L$35&gt;0,$B47&gt;='班次明細'!$G$35,$C47&lt;='班次明細'!$H$35,OR('班次明細'!$K$35=0,$C47&lt;='班次明細'!$I$35,$B47&gt;='班次明細'!$J$35)),1,0)+IF(AND('班次明細'!$L$42&gt;0,$B47&gt;='班次明細'!$G$42,$C47&lt;='班次明細'!$H$42,OR('班次明細'!$K$42=0,$C47&lt;='班次明細'!$I$42,$B47&gt;='班次明細'!$J$42)),1,0)+IF(AND('班次明細'!$L$49&gt;0,$B47&gt;='班次明細'!$G$49,$C47&lt;='班次明細'!$H$49,OR('班次明細'!$K$49=0,$C47&lt;='班次明細'!$I$49,$B47&gt;='班次明細'!$J$49)),1,0)+IF(AND('班次明細'!$L$56&gt;0,$B47&gt;='班次明細'!$G$56,$C47&lt;='班次明細'!$H$56,OR('班次明細'!$K$56=0,$C47&lt;='班次明細'!$I$56,$B47&gt;='班次明細'!$J$56)),1,0)+IF(AND('班次明細'!$L$63&gt;0,$B47&gt;='班次明細'!$G$63,$C47&lt;='班次明細'!$H$63,OR('班次明細'!$K$63=0,$C47&lt;='班次明細'!$I$63,$B47&gt;='班次明細'!$J$63)),1,0)+IF(AND('班次明細'!$L$70&gt;0,$B47&gt;='班次明細'!$G$70,$C47&lt;='班次明細'!$H$70,OR('班次明細'!$K$70=0,$C47&lt;='班次明細'!$I$70,$B47&gt;='班次明細'!$J$70)),1,0)+IF(AND('班次明細'!$L$77&gt;0,$B47&gt;='班次明細'!$G$77,$C47&lt;='班次明細'!$H$77,OR('班次明細'!$K$77=0,$C47&lt;='班次明細'!$I$77,$B47&gt;='班次明細'!$J$77)),1,0)</x:f>
        <x:v>5</x:v>
      </x:c>
      <x:c r="H47" s="2" t="n">
        <x:f>MAX(0,E47-G47)</x:f>
        <x:v>0</x:v>
      </x:c>
      <x:c r="I47" s="2" t="n">
        <x:f>IF(F47="",0,MAX(0,G47-F47))</x:f>
        <x:v>0</x:v>
      </x:c>
      <x:c r="J47" s="2" t="n">
        <x:v>0</x:v>
      </x:c>
      <x:c r="K47" s="11" t="str"/>
      <x:c r="L47" s="11" t="str">
        <x:f>IF(OR(H47&gt;0,J47&gt;0),"營運參考／主管現場協調",IF(I47&gt;0,"營運參考／主管現場協調","本段人力足夠"))</x:f>
        <x:v>本段人力足夠</x:v>
      </x:c>
    </x:row>
    <x:row r="48" ht="42" customHeight="1">
      <x:c r="A48" s="12" t="n">
        <x:v>46280</x:v>
      </x:c>
      <x:c r="B48" s="13" t="n">
        <x:v>0.7916666666666666</x:v>
      </x:c>
      <x:c r="C48" s="13" t="n">
        <x:v>0.8125</x:v>
      </x:c>
      <x:c r="D48" s="2" t="str">
        <x:v>平日晚峰</x:v>
      </x:c>
      <x:c r="E48" s="2" t="n">
        <x:v>5</x:v>
      </x:c>
      <x:c r="F48" s="2" t="n">
        <x:v>5</x:v>
      </x:c>
      <x:c r="G48" s="2" t="n">
        <x:f>IF(AND('班次明細'!$L$7&gt;0,$B48&gt;='班次明細'!$G$7,$C48&lt;='班次明細'!$H$7,OR('班次明細'!$K$7=0,$C48&lt;='班次明細'!$I$7,$B48&gt;='班次明細'!$J$7)),1,0)+IF(AND('班次明細'!$L$14&gt;0,$B48&gt;='班次明細'!$G$14,$C48&lt;='班次明細'!$H$14,OR('班次明細'!$K$14=0,$C48&lt;='班次明細'!$I$14,$B48&gt;='班次明細'!$J$14)),1,0)+IF(AND('班次明細'!$L$21&gt;0,$B48&gt;='班次明細'!$G$21,$C48&lt;='班次明細'!$H$21,OR('班次明細'!$K$21=0,$C48&lt;='班次明細'!$I$21,$B48&gt;='班次明細'!$J$21)),1,0)+IF(AND('班次明細'!$L$28&gt;0,$B48&gt;='班次明細'!$G$28,$C48&lt;='班次明細'!$H$28,OR('班次明細'!$K$28=0,$C48&lt;='班次明細'!$I$28,$B48&gt;='班次明細'!$J$28)),1,0)+IF(AND('班次明細'!$L$35&gt;0,$B48&gt;='班次明細'!$G$35,$C48&lt;='班次明細'!$H$35,OR('班次明細'!$K$35=0,$C48&lt;='班次明細'!$I$35,$B48&gt;='班次明細'!$J$35)),1,0)+IF(AND('班次明細'!$L$42&gt;0,$B48&gt;='班次明細'!$G$42,$C48&lt;='班次明細'!$H$42,OR('班次明細'!$K$42=0,$C48&lt;='班次明細'!$I$42,$B48&gt;='班次明細'!$J$42)),1,0)+IF(AND('班次明細'!$L$49&gt;0,$B48&gt;='班次明細'!$G$49,$C48&lt;='班次明細'!$H$49,OR('班次明細'!$K$49=0,$C48&lt;='班次明細'!$I$49,$B48&gt;='班次明細'!$J$49)),1,0)+IF(AND('班次明細'!$L$56&gt;0,$B48&gt;='班次明細'!$G$56,$C48&lt;='班次明細'!$H$56,OR('班次明細'!$K$56=0,$C48&lt;='班次明細'!$I$56,$B48&gt;='班次明細'!$J$56)),1,0)+IF(AND('班次明細'!$L$63&gt;0,$B48&gt;='班次明細'!$G$63,$C48&lt;='班次明細'!$H$63,OR('班次明細'!$K$63=0,$C48&lt;='班次明細'!$I$63,$B48&gt;='班次明細'!$J$63)),1,0)+IF(AND('班次明細'!$L$70&gt;0,$B48&gt;='班次明細'!$G$70,$C48&lt;='班次明細'!$H$70,OR('班次明細'!$K$70=0,$C48&lt;='班次明細'!$I$70,$B48&gt;='班次明細'!$J$70)),1,0)+IF(AND('班次明細'!$L$77&gt;0,$B48&gt;='班次明細'!$G$77,$C48&lt;='班次明細'!$H$77,OR('班次明細'!$K$77=0,$C48&lt;='班次明細'!$I$77,$B48&gt;='班次明細'!$J$77)),1,0)</x:f>
        <x:v>5</x:v>
      </x:c>
      <x:c r="H48" s="2" t="n">
        <x:f>MAX(0,E48-G48)</x:f>
        <x:v>0</x:v>
      </x:c>
      <x:c r="I48" s="2" t="n">
        <x:f>IF(F48="",0,MAX(0,G48-F48))</x:f>
        <x:v>0</x:v>
      </x:c>
      <x:c r="J48" s="2" t="n">
        <x:v>0</x:v>
      </x:c>
      <x:c r="K48" s="11" t="str"/>
      <x:c r="L48" s="11" t="str">
        <x:f>IF(OR(H48&gt;0,J48&gt;0),"營運參考／主管現場協調",IF(I48&gt;0,"營運參考／主管現場協調","本段人力足夠"))</x:f>
        <x:v>本段人力足夠</x:v>
      </x:c>
    </x:row>
    <x:row r="49" ht="42" customHeight="1">
      <x:c r="A49" s="12" t="n">
        <x:v>46280</x:v>
      </x:c>
      <x:c r="B49" s="13" t="n">
        <x:v>0.8125</x:v>
      </x:c>
      <x:c r="C49" s="13" t="n">
        <x:v>0.8333333333333334</x:v>
      </x:c>
      <x:c r="D49" s="2" t="str">
        <x:v>平日離峰</x:v>
      </x:c>
      <x:c r="E49" s="2" t="n">
        <x:v>2</x:v>
      </x:c>
      <x:c r="F49" s="2"/>
      <x:c r="G49" s="2" t="n">
        <x:f>IF(AND('班次明細'!$L$7&gt;0,$B49&gt;='班次明細'!$G$7,$C49&lt;='班次明細'!$H$7,OR('班次明細'!$K$7=0,$C49&lt;='班次明細'!$I$7,$B49&gt;='班次明細'!$J$7)),1,0)+IF(AND('班次明細'!$L$14&gt;0,$B49&gt;='班次明細'!$G$14,$C49&lt;='班次明細'!$H$14,OR('班次明細'!$K$14=0,$C49&lt;='班次明細'!$I$14,$B49&gt;='班次明細'!$J$14)),1,0)+IF(AND('班次明細'!$L$21&gt;0,$B49&gt;='班次明細'!$G$21,$C49&lt;='班次明細'!$H$21,OR('班次明細'!$K$21=0,$C49&lt;='班次明細'!$I$21,$B49&gt;='班次明細'!$J$21)),1,0)+IF(AND('班次明細'!$L$28&gt;0,$B49&gt;='班次明細'!$G$28,$C49&lt;='班次明細'!$H$28,OR('班次明細'!$K$28=0,$C49&lt;='班次明細'!$I$28,$B49&gt;='班次明細'!$J$28)),1,0)+IF(AND('班次明細'!$L$35&gt;0,$B49&gt;='班次明細'!$G$35,$C49&lt;='班次明細'!$H$35,OR('班次明細'!$K$35=0,$C49&lt;='班次明細'!$I$35,$B49&gt;='班次明細'!$J$35)),1,0)+IF(AND('班次明細'!$L$42&gt;0,$B49&gt;='班次明細'!$G$42,$C49&lt;='班次明細'!$H$42,OR('班次明細'!$K$42=0,$C49&lt;='班次明細'!$I$42,$B49&gt;='班次明細'!$J$42)),1,0)+IF(AND('班次明細'!$L$49&gt;0,$B49&gt;='班次明細'!$G$49,$C49&lt;='班次明細'!$H$49,OR('班次明細'!$K$49=0,$C49&lt;='班次明細'!$I$49,$B49&gt;='班次明細'!$J$49)),1,0)+IF(AND('班次明細'!$L$56&gt;0,$B49&gt;='班次明細'!$G$56,$C49&lt;='班次明細'!$H$56,OR('班次明細'!$K$56=0,$C49&lt;='班次明細'!$I$56,$B49&gt;='班次明細'!$J$56)),1,0)+IF(AND('班次明細'!$L$63&gt;0,$B49&gt;='班次明細'!$G$63,$C49&lt;='班次明細'!$H$63,OR('班次明細'!$K$63=0,$C49&lt;='班次明細'!$I$63,$B49&gt;='班次明細'!$J$63)),1,0)+IF(AND('班次明細'!$L$70&gt;0,$B49&gt;='班次明細'!$G$70,$C49&lt;='班次明細'!$H$70,OR('班次明細'!$K$70=0,$C49&lt;='班次明細'!$I$70,$B49&gt;='班次明細'!$J$70)),1,0)+IF(AND('班次明細'!$L$77&gt;0,$B49&gt;='班次明細'!$G$77,$C49&lt;='班次明細'!$H$77,OR('班次明細'!$K$77=0,$C49&lt;='班次明細'!$I$77,$B49&gt;='班次明細'!$J$77)),1,0)</x:f>
        <x:v>5</x:v>
      </x:c>
      <x:c r="H49" s="2" t="n">
        <x:f>MAX(0,E49-G49)</x:f>
        <x:v>0</x:v>
      </x:c>
      <x:c r="I49" s="2" t="n">
        <x:f>IF(F49="",0,MAX(0,G49-F49))</x:f>
        <x:v>0</x:v>
      </x:c>
      <x:c r="J49" s="2" t="n">
        <x:v>0</x:v>
      </x:c>
      <x:c r="K49" s="11" t="str"/>
      <x:c r="L49" s="11" t="str">
        <x:f>IF(OR(H49&gt;0,J49&gt;0),"營運參考／主管現場協調",IF(I49&gt;0,"營運參考／主管現場協調","本段人力足夠"))</x:f>
        <x:v>本段人力足夠</x:v>
      </x:c>
    </x:row>
    <x:row r="50" ht="42" customHeight="1">
      <x:c r="A50" s="12" t="n">
        <x:v>46280</x:v>
      </x:c>
      <x:c r="B50" s="13" t="n">
        <x:v>0.8333333333333334</x:v>
      </x:c>
      <x:c r="C50" s="13" t="n">
        <x:v>0.8541666666666666</x:v>
      </x:c>
      <x:c r="D50" s="2" t="str">
        <x:v>平日收店20</x:v>
      </x:c>
      <x:c r="E50" s="2" t="n">
        <x:v>5</x:v>
      </x:c>
      <x:c r="F50" s="2"/>
      <x:c r="G50" s="2" t="n">
        <x:f>IF(AND('班次明細'!$L$7&gt;0,$B50&gt;='班次明細'!$G$7,$C50&lt;='班次明細'!$H$7,OR('班次明細'!$K$7=0,$C50&lt;='班次明細'!$I$7,$B50&gt;='班次明細'!$J$7)),1,0)+IF(AND('班次明細'!$L$14&gt;0,$B50&gt;='班次明細'!$G$14,$C50&lt;='班次明細'!$H$14,OR('班次明細'!$K$14=0,$C50&lt;='班次明細'!$I$14,$B50&gt;='班次明細'!$J$14)),1,0)+IF(AND('班次明細'!$L$21&gt;0,$B50&gt;='班次明細'!$G$21,$C50&lt;='班次明細'!$H$21,OR('班次明細'!$K$21=0,$C50&lt;='班次明細'!$I$21,$B50&gt;='班次明細'!$J$21)),1,0)+IF(AND('班次明細'!$L$28&gt;0,$B50&gt;='班次明細'!$G$28,$C50&lt;='班次明細'!$H$28,OR('班次明細'!$K$28=0,$C50&lt;='班次明細'!$I$28,$B50&gt;='班次明細'!$J$28)),1,0)+IF(AND('班次明細'!$L$35&gt;0,$B50&gt;='班次明細'!$G$35,$C50&lt;='班次明細'!$H$35,OR('班次明細'!$K$35=0,$C50&lt;='班次明細'!$I$35,$B50&gt;='班次明細'!$J$35)),1,0)+IF(AND('班次明細'!$L$42&gt;0,$B50&gt;='班次明細'!$G$42,$C50&lt;='班次明細'!$H$42,OR('班次明細'!$K$42=0,$C50&lt;='班次明細'!$I$42,$B50&gt;='班次明細'!$J$42)),1,0)+IF(AND('班次明細'!$L$49&gt;0,$B50&gt;='班次明細'!$G$49,$C50&lt;='班次明細'!$H$49,OR('班次明細'!$K$49=0,$C50&lt;='班次明細'!$I$49,$B50&gt;='班次明細'!$J$49)),1,0)+IF(AND('班次明細'!$L$56&gt;0,$B50&gt;='班次明細'!$G$56,$C50&lt;='班次明細'!$H$56,OR('班次明細'!$K$56=0,$C50&lt;='班次明細'!$I$56,$B50&gt;='班次明細'!$J$56)),1,0)+IF(AND('班次明細'!$L$63&gt;0,$B50&gt;='班次明細'!$G$63,$C50&lt;='班次明細'!$H$63,OR('班次明細'!$K$63=0,$C50&lt;='班次明細'!$I$63,$B50&gt;='班次明細'!$J$63)),1,0)+IF(AND('班次明細'!$L$70&gt;0,$B50&gt;='班次明細'!$G$70,$C50&lt;='班次明細'!$H$70,OR('班次明細'!$K$70=0,$C50&lt;='班次明細'!$I$70,$B50&gt;='班次明細'!$J$70)),1,0)+IF(AND('班次明細'!$L$77&gt;0,$B50&gt;='班次明細'!$G$77,$C50&lt;='班次明細'!$H$77,OR('班次明細'!$K$77=0,$C50&lt;='班次明細'!$I$77,$B50&gt;='班次明細'!$J$77)),1,0)</x:f>
        <x:v>5</x:v>
      </x:c>
      <x:c r="H50" s="2" t="n">
        <x:f>MAX(0,E50-G50)</x:f>
        <x:v>0</x:v>
      </x:c>
      <x:c r="I50" s="2" t="n">
        <x:f>IF(F50="",0,MAX(0,G50-F50))</x:f>
        <x:v>0</x:v>
      </x:c>
      <x:c r="J50" s="2" t="n">
        <x:v>0</x:v>
      </x:c>
      <x:c r="K50" s="11" t="str"/>
      <x:c r="L50" s="11" t="str">
        <x:f>IF(OR(H50&gt;0,J50&gt;0),"營運參考／主管現場協調；收店交接參考",IF(I50&gt;0,"營運參考／主管現場協調","人數足；收店交接參考"))</x:f>
        <x:v>人數足；收店交接參考</x:v>
      </x:c>
    </x:row>
    <x:row r="51" ht="42" customHeight="1">
      <x:c r="A51" s="12" t="n">
        <x:v>46280</x:v>
      </x:c>
      <x:c r="B51" s="13" t="n">
        <x:v>0.8541666666666666</x:v>
      </x:c>
      <x:c r="C51" s="13" t="n">
        <x:v>0.875</x:v>
      </x:c>
      <x:c r="D51" s="2" t="str">
        <x:v>平日收店20</x:v>
      </x:c>
      <x:c r="E51" s="2" t="n">
        <x:v>5</x:v>
      </x:c>
      <x:c r="F51" s="2"/>
      <x:c r="G51" s="2" t="n">
        <x:f>IF(AND('班次明細'!$L$7&gt;0,$B51&gt;='班次明細'!$G$7,$C51&lt;='班次明細'!$H$7,OR('班次明細'!$K$7=0,$C51&lt;='班次明細'!$I$7,$B51&gt;='班次明細'!$J$7)),1,0)+IF(AND('班次明細'!$L$14&gt;0,$B51&gt;='班次明細'!$G$14,$C51&lt;='班次明細'!$H$14,OR('班次明細'!$K$14=0,$C51&lt;='班次明細'!$I$14,$B51&gt;='班次明細'!$J$14)),1,0)+IF(AND('班次明細'!$L$21&gt;0,$B51&gt;='班次明細'!$G$21,$C51&lt;='班次明細'!$H$21,OR('班次明細'!$K$21=0,$C51&lt;='班次明細'!$I$21,$B51&gt;='班次明細'!$J$21)),1,0)+IF(AND('班次明細'!$L$28&gt;0,$B51&gt;='班次明細'!$G$28,$C51&lt;='班次明細'!$H$28,OR('班次明細'!$K$28=0,$C51&lt;='班次明細'!$I$28,$B51&gt;='班次明細'!$J$28)),1,0)+IF(AND('班次明細'!$L$35&gt;0,$B51&gt;='班次明細'!$G$35,$C51&lt;='班次明細'!$H$35,OR('班次明細'!$K$35=0,$C51&lt;='班次明細'!$I$35,$B51&gt;='班次明細'!$J$35)),1,0)+IF(AND('班次明細'!$L$42&gt;0,$B51&gt;='班次明細'!$G$42,$C51&lt;='班次明細'!$H$42,OR('班次明細'!$K$42=0,$C51&lt;='班次明細'!$I$42,$B51&gt;='班次明細'!$J$42)),1,0)+IF(AND('班次明細'!$L$49&gt;0,$B51&gt;='班次明細'!$G$49,$C51&lt;='班次明細'!$H$49,OR('班次明細'!$K$49=0,$C51&lt;='班次明細'!$I$49,$B51&gt;='班次明細'!$J$49)),1,0)+IF(AND('班次明細'!$L$56&gt;0,$B51&gt;='班次明細'!$G$56,$C51&lt;='班次明細'!$H$56,OR('班次明細'!$K$56=0,$C51&lt;='班次明細'!$I$56,$B51&gt;='班次明細'!$J$56)),1,0)+IF(AND('班次明細'!$L$63&gt;0,$B51&gt;='班次明細'!$G$63,$C51&lt;='班次明細'!$H$63,OR('班次明細'!$K$63=0,$C51&lt;='班次明細'!$I$63,$B51&gt;='班次明細'!$J$63)),1,0)+IF(AND('班次明細'!$L$70&gt;0,$B51&gt;='班次明細'!$G$70,$C51&lt;='班次明細'!$H$70,OR('班次明細'!$K$70=0,$C51&lt;='班次明細'!$I$70,$B51&gt;='班次明細'!$J$70)),1,0)+IF(AND('班次明細'!$L$77&gt;0,$B51&gt;='班次明細'!$G$77,$C51&lt;='班次明細'!$H$77,OR('班次明細'!$K$77=0,$C51&lt;='班次明細'!$I$77,$B51&gt;='班次明細'!$J$77)),1,0)</x:f>
        <x:v>5</x:v>
      </x:c>
      <x:c r="H51" s="2" t="n">
        <x:f>MAX(0,E51-G51)</x:f>
        <x:v>0</x:v>
      </x:c>
      <x:c r="I51" s="2" t="n">
        <x:f>IF(F51="",0,MAX(0,G51-F51))</x:f>
        <x:v>0</x:v>
      </x:c>
      <x:c r="J51" s="2" t="n">
        <x:v>0</x:v>
      </x:c>
      <x:c r="K51" s="11" t="str"/>
      <x:c r="L51" s="11" t="str">
        <x:f>IF(OR(H51&gt;0,J51&gt;0),"營運參考／主管現場協調；收店交接參考",IF(I51&gt;0,"營運參考／主管現場協調","人數足；收店交接參考"))</x:f>
        <x:v>人數足；收店交接參考</x:v>
      </x:c>
    </x:row>
    <x:row r="52" ht="42" customHeight="1">
      <x:c r="A52" s="12" t="n">
        <x:v>46280</x:v>
      </x:c>
      <x:c r="B52" s="13" t="n">
        <x:v>0.875</x:v>
      </x:c>
      <x:c r="C52" s="13" t="n">
        <x:v>0.8958333333333334</x:v>
      </x:c>
      <x:c r="D52" s="2" t="str">
        <x:v>平日收店21</x:v>
      </x:c>
      <x:c r="E52" s="2" t="n">
        <x:v>4</x:v>
      </x:c>
      <x:c r="F52" s="2"/>
      <x:c r="G52" s="2" t="n">
        <x:f>IF(AND('班次明細'!$L$7&gt;0,$B52&gt;='班次明細'!$G$7,$C52&lt;='班次明細'!$H$7,OR('班次明細'!$K$7=0,$C52&lt;='班次明細'!$I$7,$B52&gt;='班次明細'!$J$7)),1,0)+IF(AND('班次明細'!$L$14&gt;0,$B52&gt;='班次明細'!$G$14,$C52&lt;='班次明細'!$H$14,OR('班次明細'!$K$14=0,$C52&lt;='班次明細'!$I$14,$B52&gt;='班次明細'!$J$14)),1,0)+IF(AND('班次明細'!$L$21&gt;0,$B52&gt;='班次明細'!$G$21,$C52&lt;='班次明細'!$H$21,OR('班次明細'!$K$21=0,$C52&lt;='班次明細'!$I$21,$B52&gt;='班次明細'!$J$21)),1,0)+IF(AND('班次明細'!$L$28&gt;0,$B52&gt;='班次明細'!$G$28,$C52&lt;='班次明細'!$H$28,OR('班次明細'!$K$28=0,$C52&lt;='班次明細'!$I$28,$B52&gt;='班次明細'!$J$28)),1,0)+IF(AND('班次明細'!$L$35&gt;0,$B52&gt;='班次明細'!$G$35,$C52&lt;='班次明細'!$H$35,OR('班次明細'!$K$35=0,$C52&lt;='班次明細'!$I$35,$B52&gt;='班次明細'!$J$35)),1,0)+IF(AND('班次明細'!$L$42&gt;0,$B52&gt;='班次明細'!$G$42,$C52&lt;='班次明細'!$H$42,OR('班次明細'!$K$42=0,$C52&lt;='班次明細'!$I$42,$B52&gt;='班次明細'!$J$42)),1,0)+IF(AND('班次明細'!$L$49&gt;0,$B52&gt;='班次明細'!$G$49,$C52&lt;='班次明細'!$H$49,OR('班次明細'!$K$49=0,$C52&lt;='班次明細'!$I$49,$B52&gt;='班次明細'!$J$49)),1,0)+IF(AND('班次明細'!$L$56&gt;0,$B52&gt;='班次明細'!$G$56,$C52&lt;='班次明細'!$H$56,OR('班次明細'!$K$56=0,$C52&lt;='班次明細'!$I$56,$B52&gt;='班次明細'!$J$56)),1,0)+IF(AND('班次明細'!$L$63&gt;0,$B52&gt;='班次明細'!$G$63,$C52&lt;='班次明細'!$H$63,OR('班次明細'!$K$63=0,$C52&lt;='班次明細'!$I$63,$B52&gt;='班次明細'!$J$63)),1,0)+IF(AND('班次明細'!$L$70&gt;0,$B52&gt;='班次明細'!$G$70,$C52&lt;='班次明細'!$H$70,OR('班次明細'!$K$70=0,$C52&lt;='班次明細'!$I$70,$B52&gt;='班次明細'!$J$70)),1,0)+IF(AND('班次明細'!$L$77&gt;0,$B52&gt;='班次明細'!$G$77,$C52&lt;='班次明細'!$H$77,OR('班次明細'!$K$77=0,$C52&lt;='班次明細'!$I$77,$B52&gt;='班次明細'!$J$77)),1,0)</x:f>
        <x:v>4</x:v>
      </x:c>
      <x:c r="H52" s="2" t="n">
        <x:f>MAX(0,E52-G52)</x:f>
        <x:v>0</x:v>
      </x:c>
      <x:c r="I52" s="2" t="n">
        <x:f>IF(F52="",0,MAX(0,G52-F52))</x:f>
        <x:v>0</x:v>
      </x:c>
      <x:c r="J52" s="2" t="n">
        <x:v>0</x:v>
      </x:c>
      <x:c r="K52" s="11" t="str"/>
      <x:c r="L52" s="11" t="str">
        <x:f>IF(OR(H52&gt;0,J52&gt;0),"營運參考／主管現場協調；收店交接參考",IF(I52&gt;0,"營運參考／主管現場協調","人數足；收店交接參考"))</x:f>
        <x:v>人數足；收店交接參考</x:v>
      </x:c>
    </x:row>
    <x:row r="53" ht="42" customHeight="1">
      <x:c r="A53" s="12" t="n">
        <x:v>46280</x:v>
      </x:c>
      <x:c r="B53" s="13" t="n">
        <x:v>0.8958333333333334</x:v>
      </x:c>
      <x:c r="C53" s="13" t="n">
        <x:v>0.9166666666666666</x:v>
      </x:c>
      <x:c r="D53" s="2" t="str">
        <x:v>已結束</x:v>
      </x:c>
      <x:c r="E53" s="2" t="n">
        <x:v>0</x:v>
      </x:c>
      <x:c r="F53" s="2"/>
      <x:c r="G53" s="2" t="n">
        <x:f>IF(AND('班次明細'!$L$7&gt;0,$B53&gt;='班次明細'!$G$7,$C53&lt;='班次明細'!$H$7,OR('班次明細'!$K$7=0,$C53&lt;='班次明細'!$I$7,$B53&gt;='班次明細'!$J$7)),1,0)+IF(AND('班次明細'!$L$14&gt;0,$B53&gt;='班次明細'!$G$14,$C53&lt;='班次明細'!$H$14,OR('班次明細'!$K$14=0,$C53&lt;='班次明細'!$I$14,$B53&gt;='班次明細'!$J$14)),1,0)+IF(AND('班次明細'!$L$21&gt;0,$B53&gt;='班次明細'!$G$21,$C53&lt;='班次明細'!$H$21,OR('班次明細'!$K$21=0,$C53&lt;='班次明細'!$I$21,$B53&gt;='班次明細'!$J$21)),1,0)+IF(AND('班次明細'!$L$28&gt;0,$B53&gt;='班次明細'!$G$28,$C53&lt;='班次明細'!$H$28,OR('班次明細'!$K$28=0,$C53&lt;='班次明細'!$I$28,$B53&gt;='班次明細'!$J$28)),1,0)+IF(AND('班次明細'!$L$35&gt;0,$B53&gt;='班次明細'!$G$35,$C53&lt;='班次明細'!$H$35,OR('班次明細'!$K$35=0,$C53&lt;='班次明細'!$I$35,$B53&gt;='班次明細'!$J$35)),1,0)+IF(AND('班次明細'!$L$42&gt;0,$B53&gt;='班次明細'!$G$42,$C53&lt;='班次明細'!$H$42,OR('班次明細'!$K$42=0,$C53&lt;='班次明細'!$I$42,$B53&gt;='班次明細'!$J$42)),1,0)+IF(AND('班次明細'!$L$49&gt;0,$B53&gt;='班次明細'!$G$49,$C53&lt;='班次明細'!$H$49,OR('班次明細'!$K$49=0,$C53&lt;='班次明細'!$I$49,$B53&gt;='班次明細'!$J$49)),1,0)+IF(AND('班次明細'!$L$56&gt;0,$B53&gt;='班次明細'!$G$56,$C53&lt;='班次明細'!$H$56,OR('班次明細'!$K$56=0,$C53&lt;='班次明細'!$I$56,$B53&gt;='班次明細'!$J$56)),1,0)+IF(AND('班次明細'!$L$63&gt;0,$B53&gt;='班次明細'!$G$63,$C53&lt;='班次明細'!$H$63,OR('班次明細'!$K$63=0,$C53&lt;='班次明細'!$I$63,$B53&gt;='班次明細'!$J$63)),1,0)+IF(AND('班次明細'!$L$70&gt;0,$B53&gt;='班次明細'!$G$70,$C53&lt;='班次明細'!$H$70,OR('班次明細'!$K$70=0,$C53&lt;='班次明細'!$I$70,$B53&gt;='班次明細'!$J$70)),1,0)+IF(AND('班次明細'!$L$77&gt;0,$B53&gt;='班次明細'!$G$77,$C53&lt;='班次明細'!$H$77,OR('班次明細'!$K$77=0,$C53&lt;='班次明細'!$I$77,$B53&gt;='班次明細'!$J$77)),1,0)</x:f>
        <x:v>0</x:v>
      </x:c>
      <x:c r="H53" s="2" t="n">
        <x:f>MAX(0,E53-G53)</x:f>
        <x:v>0</x:v>
      </x:c>
      <x:c r="I53" s="2" t="n">
        <x:f>IF(F53="",0,MAX(0,G53-F53))</x:f>
        <x:v>0</x:v>
      </x:c>
      <x:c r="J53" s="2" t="n">
        <x:v>0</x:v>
      </x:c>
      <x:c r="K53" s="11" t="str"/>
      <x:c r="L53" s="11" t="str">
        <x:f>IF(OR(H53&gt;0,J53&gt;0),"營運參考／主管現場協調",IF(I53&gt;0,"營運參考／主管現場協調","無最低人力需求"))</x:f>
        <x:v>無最低人力需求</x:v>
      </x:c>
    </x:row>
    <x:row r="54" ht="42" customHeight="1">
      <x:c r="A54" s="12" t="n">
        <x:v>46281</x:v>
      </x:c>
      <x:c r="B54" s="13" t="n">
        <x:v>0.4166666666666667</x:v>
      </x:c>
      <x:c r="C54" s="13" t="n">
        <x:v>0.4375</x:v>
      </x:c>
      <x:c r="D54" s="2" t="str">
        <x:v>開店</x:v>
      </x:c>
      <x:c r="E54" s="2" t="n">
        <x:v>1</x:v>
      </x:c>
      <x:c r="F54" s="2" t="n">
        <x:v>1</x:v>
      </x:c>
      <x:c r="G54" s="2" t="n">
        <x:f>IF(AND('班次明細'!$L$8&gt;0,$B54&gt;='班次明細'!$G$8,$C54&lt;='班次明細'!$H$8,OR('班次明細'!$K$8=0,$C54&lt;='班次明細'!$I$8,$B54&gt;='班次明細'!$J$8)),1,0)+IF(AND('班次明細'!$L$15&gt;0,$B54&gt;='班次明細'!$G$15,$C54&lt;='班次明細'!$H$15,OR('班次明細'!$K$15=0,$C54&lt;='班次明細'!$I$15,$B54&gt;='班次明細'!$J$15)),1,0)+IF(AND('班次明細'!$L$22&gt;0,$B54&gt;='班次明細'!$G$22,$C54&lt;='班次明細'!$H$22,OR('班次明細'!$K$22=0,$C54&lt;='班次明細'!$I$22,$B54&gt;='班次明細'!$J$22)),1,0)+IF(AND('班次明細'!$L$29&gt;0,$B54&gt;='班次明細'!$G$29,$C54&lt;='班次明細'!$H$29,OR('班次明細'!$K$29=0,$C54&lt;='班次明細'!$I$29,$B54&gt;='班次明細'!$J$29)),1,0)+IF(AND('班次明細'!$L$36&gt;0,$B54&gt;='班次明細'!$G$36,$C54&lt;='班次明細'!$H$36,OR('班次明細'!$K$36=0,$C54&lt;='班次明細'!$I$36,$B54&gt;='班次明細'!$J$36)),1,0)+IF(AND('班次明細'!$L$43&gt;0,$B54&gt;='班次明細'!$G$43,$C54&lt;='班次明細'!$H$43,OR('班次明細'!$K$43=0,$C54&lt;='班次明細'!$I$43,$B54&gt;='班次明細'!$J$43)),1,0)+IF(AND('班次明細'!$L$50&gt;0,$B54&gt;='班次明細'!$G$50,$C54&lt;='班次明細'!$H$50,OR('班次明細'!$K$50=0,$C54&lt;='班次明細'!$I$50,$B54&gt;='班次明細'!$J$50)),1,0)+IF(AND('班次明細'!$L$57&gt;0,$B54&gt;='班次明細'!$G$57,$C54&lt;='班次明細'!$H$57,OR('班次明細'!$K$57=0,$C54&lt;='班次明細'!$I$57,$B54&gt;='班次明細'!$J$57)),1,0)+IF(AND('班次明細'!$L$64&gt;0,$B54&gt;='班次明細'!$G$64,$C54&lt;='班次明細'!$H$64,OR('班次明細'!$K$64=0,$C54&lt;='班次明細'!$I$64,$B54&gt;='班次明細'!$J$64)),1,0)+IF(AND('班次明細'!$L$71&gt;0,$B54&gt;='班次明細'!$G$71,$C54&lt;='班次明細'!$H$71,OR('班次明細'!$K$71=0,$C54&lt;='班次明細'!$I$71,$B54&gt;='班次明細'!$J$71)),1,0)+IF(AND('班次明細'!$L$78&gt;0,$B54&gt;='班次明細'!$G$78,$C54&lt;='班次明細'!$H$78,OR('班次明細'!$K$78=0,$C54&lt;='班次明細'!$I$78,$B54&gt;='班次明細'!$J$78)),1,0)</x:f>
        <x:v>1</x:v>
      </x:c>
      <x:c r="H54" s="2" t="n">
        <x:f>MAX(0,E54-G54)</x:f>
        <x:v>0</x:v>
      </x:c>
      <x:c r="I54" s="2" t="n">
        <x:f>IF(F54="",0,MAX(0,G54-F54))</x:f>
        <x:v>0</x:v>
      </x:c>
      <x:c r="J54" s="2" t="n">
        <x:v>0</x:v>
      </x:c>
      <x:c r="K54" s="11" t="str"/>
      <x:c r="L54" s="11" t="str">
        <x:f>IF(OR(H54&gt;0,J54&gt;0),"營運參考／主管現場協調",IF(I54&gt;0,"營運參考／主管現場協調","本段人力足夠"))</x:f>
        <x:v>本段人力足夠</x:v>
      </x:c>
    </x:row>
    <x:row r="55" ht="42" customHeight="1">
      <x:c r="A55" s="12" t="n">
        <x:v>46281</x:v>
      </x:c>
      <x:c r="B55" s="13" t="n">
        <x:v>0.4375</x:v>
      </x:c>
      <x:c r="C55" s="13" t="n">
        <x:v>0.4583333333333333</x:v>
      </x:c>
      <x:c r="D55" s="2" t="str">
        <x:v>開店</x:v>
      </x:c>
      <x:c r="E55" s="2" t="n">
        <x:v>1</x:v>
      </x:c>
      <x:c r="F55" s="2" t="n">
        <x:v>1</x:v>
      </x:c>
      <x:c r="G55" s="2" t="n">
        <x:f>IF(AND('班次明細'!$L$8&gt;0,$B55&gt;='班次明細'!$G$8,$C55&lt;='班次明細'!$H$8,OR('班次明細'!$K$8=0,$C55&lt;='班次明細'!$I$8,$B55&gt;='班次明細'!$J$8)),1,0)+IF(AND('班次明細'!$L$15&gt;0,$B55&gt;='班次明細'!$G$15,$C55&lt;='班次明細'!$H$15,OR('班次明細'!$K$15=0,$C55&lt;='班次明細'!$I$15,$B55&gt;='班次明細'!$J$15)),1,0)+IF(AND('班次明細'!$L$22&gt;0,$B55&gt;='班次明細'!$G$22,$C55&lt;='班次明細'!$H$22,OR('班次明細'!$K$22=0,$C55&lt;='班次明細'!$I$22,$B55&gt;='班次明細'!$J$22)),1,0)+IF(AND('班次明細'!$L$29&gt;0,$B55&gt;='班次明細'!$G$29,$C55&lt;='班次明細'!$H$29,OR('班次明細'!$K$29=0,$C55&lt;='班次明細'!$I$29,$B55&gt;='班次明細'!$J$29)),1,0)+IF(AND('班次明細'!$L$36&gt;0,$B55&gt;='班次明細'!$G$36,$C55&lt;='班次明細'!$H$36,OR('班次明細'!$K$36=0,$C55&lt;='班次明細'!$I$36,$B55&gt;='班次明細'!$J$36)),1,0)+IF(AND('班次明細'!$L$43&gt;0,$B55&gt;='班次明細'!$G$43,$C55&lt;='班次明細'!$H$43,OR('班次明細'!$K$43=0,$C55&lt;='班次明細'!$I$43,$B55&gt;='班次明細'!$J$43)),1,0)+IF(AND('班次明細'!$L$50&gt;0,$B55&gt;='班次明細'!$G$50,$C55&lt;='班次明細'!$H$50,OR('班次明細'!$K$50=0,$C55&lt;='班次明細'!$I$50,$B55&gt;='班次明細'!$J$50)),1,0)+IF(AND('班次明細'!$L$57&gt;0,$B55&gt;='班次明細'!$G$57,$C55&lt;='班次明細'!$H$57,OR('班次明細'!$K$57=0,$C55&lt;='班次明細'!$I$57,$B55&gt;='班次明細'!$J$57)),1,0)+IF(AND('班次明細'!$L$64&gt;0,$B55&gt;='班次明細'!$G$64,$C55&lt;='班次明細'!$H$64,OR('班次明細'!$K$64=0,$C55&lt;='班次明細'!$I$64,$B55&gt;='班次明細'!$J$64)),1,0)+IF(AND('班次明細'!$L$71&gt;0,$B55&gt;='班次明細'!$G$71,$C55&lt;='班次明細'!$H$71,OR('班次明細'!$K$71=0,$C55&lt;='班次明細'!$I$71,$B55&gt;='班次明細'!$J$71)),1,0)+IF(AND('班次明細'!$L$78&gt;0,$B55&gt;='班次明細'!$G$78,$C55&lt;='班次明細'!$H$78,OR('班次明細'!$K$78=0,$C55&lt;='班次明細'!$I$78,$B55&gt;='班次明細'!$J$78)),1,0)</x:f>
        <x:v>1</x:v>
      </x:c>
      <x:c r="H55" s="2" t="n">
        <x:f>MAX(0,E55-G55)</x:f>
        <x:v>0</x:v>
      </x:c>
      <x:c r="I55" s="2" t="n">
        <x:f>IF(F55="",0,MAX(0,G55-F55))</x:f>
        <x:v>0</x:v>
      </x:c>
      <x:c r="J55" s="2" t="n">
        <x:v>0</x:v>
      </x:c>
      <x:c r="K55" s="11" t="str"/>
      <x:c r="L55" s="11" t="str">
        <x:f>IF(OR(H55&gt;0,J55&gt;0),"營運參考／主管現場協調",IF(I55&gt;0,"營運參考／主管現場協調","本段人力足夠"))</x:f>
        <x:v>本段人力足夠</x:v>
      </x:c>
    </x:row>
    <x:row r="56" ht="42" customHeight="1">
      <x:c r="A56" s="12" t="n">
        <x:v>46281</x:v>
      </x:c>
      <x:c r="B56" s="13" t="n">
        <x:v>0.4583333333333333</x:v>
      </x:c>
      <x:c r="C56" s="13" t="n">
        <x:v>0.4791666666666667</x:v>
      </x:c>
      <x:c r="D56" s="2" t="str">
        <x:v>平日離峰</x:v>
      </x:c>
      <x:c r="E56" s="2" t="n">
        <x:v>2</x:v>
      </x:c>
      <x:c r="F56" s="2"/>
      <x:c r="G56" s="2" t="n">
        <x:f>IF(AND('班次明細'!$L$8&gt;0,$B56&gt;='班次明細'!$G$8,$C56&lt;='班次明細'!$H$8,OR('班次明細'!$K$8=0,$C56&lt;='班次明細'!$I$8,$B56&gt;='班次明細'!$J$8)),1,0)+IF(AND('班次明細'!$L$15&gt;0,$B56&gt;='班次明細'!$G$15,$C56&lt;='班次明細'!$H$15,OR('班次明細'!$K$15=0,$C56&lt;='班次明細'!$I$15,$B56&gt;='班次明細'!$J$15)),1,0)+IF(AND('班次明細'!$L$22&gt;0,$B56&gt;='班次明細'!$G$22,$C56&lt;='班次明細'!$H$22,OR('班次明細'!$K$22=0,$C56&lt;='班次明細'!$I$22,$B56&gt;='班次明細'!$J$22)),1,0)+IF(AND('班次明細'!$L$29&gt;0,$B56&gt;='班次明細'!$G$29,$C56&lt;='班次明細'!$H$29,OR('班次明細'!$K$29=0,$C56&lt;='班次明細'!$I$29,$B56&gt;='班次明細'!$J$29)),1,0)+IF(AND('班次明細'!$L$36&gt;0,$B56&gt;='班次明細'!$G$36,$C56&lt;='班次明細'!$H$36,OR('班次明細'!$K$36=0,$C56&lt;='班次明細'!$I$36,$B56&gt;='班次明細'!$J$36)),1,0)+IF(AND('班次明細'!$L$43&gt;0,$B56&gt;='班次明細'!$G$43,$C56&lt;='班次明細'!$H$43,OR('班次明細'!$K$43=0,$C56&lt;='班次明細'!$I$43,$B56&gt;='班次明細'!$J$43)),1,0)+IF(AND('班次明細'!$L$50&gt;0,$B56&gt;='班次明細'!$G$50,$C56&lt;='班次明細'!$H$50,OR('班次明細'!$K$50=0,$C56&lt;='班次明細'!$I$50,$B56&gt;='班次明細'!$J$50)),1,0)+IF(AND('班次明細'!$L$57&gt;0,$B56&gt;='班次明細'!$G$57,$C56&lt;='班次明細'!$H$57,OR('班次明細'!$K$57=0,$C56&lt;='班次明細'!$I$57,$B56&gt;='班次明細'!$J$57)),1,0)+IF(AND('班次明細'!$L$64&gt;0,$B56&gt;='班次明細'!$G$64,$C56&lt;='班次明細'!$H$64,OR('班次明細'!$K$64=0,$C56&lt;='班次明細'!$I$64,$B56&gt;='班次明細'!$J$64)),1,0)+IF(AND('班次明細'!$L$71&gt;0,$B56&gt;='班次明細'!$G$71,$C56&lt;='班次明細'!$H$71,OR('班次明細'!$K$71=0,$C56&lt;='班次明細'!$I$71,$B56&gt;='班次明細'!$J$71)),1,0)+IF(AND('班次明細'!$L$78&gt;0,$B56&gt;='班次明細'!$G$78,$C56&lt;='班次明細'!$H$78,OR('班次明細'!$K$78=0,$C56&lt;='班次明細'!$I$78,$B56&gt;='班次明細'!$J$78)),1,0)</x:f>
        <x:v>2</x:v>
      </x:c>
      <x:c r="H56" s="2" t="n">
        <x:f>MAX(0,E56-G56)</x:f>
        <x:v>0</x:v>
      </x:c>
      <x:c r="I56" s="2" t="n">
        <x:f>IF(F56="",0,MAX(0,G56-F56))</x:f>
        <x:v>0</x:v>
      </x:c>
      <x:c r="J56" s="2" t="n">
        <x:v>0</x:v>
      </x:c>
      <x:c r="K56" s="11" t="str"/>
      <x:c r="L56" s="11" t="str">
        <x:f>IF(OR(H56&gt;0,J56&gt;0),"營運參考／主管現場協調",IF(I56&gt;0,"營運參考／主管現場協調","本段人力足夠"))</x:f>
        <x:v>本段人力足夠</x:v>
      </x:c>
    </x:row>
    <x:row r="57" ht="42" customHeight="1">
      <x:c r="A57" s="12" t="n">
        <x:v>46281</x:v>
      </x:c>
      <x:c r="B57" s="13" t="n">
        <x:v>0.4791666666666667</x:v>
      </x:c>
      <x:c r="C57" s="13" t="n">
        <x:v>0.5</x:v>
      </x:c>
      <x:c r="D57" s="2" t="str">
        <x:v>平日離峰</x:v>
      </x:c>
      <x:c r="E57" s="2" t="n">
        <x:v>2</x:v>
      </x:c>
      <x:c r="F57" s="2"/>
      <x:c r="G57" s="2" t="n">
        <x:f>IF(AND('班次明細'!$L$8&gt;0,$B57&gt;='班次明細'!$G$8,$C57&lt;='班次明細'!$H$8,OR('班次明細'!$K$8=0,$C57&lt;='班次明細'!$I$8,$B57&gt;='班次明細'!$J$8)),1,0)+IF(AND('班次明細'!$L$15&gt;0,$B57&gt;='班次明細'!$G$15,$C57&lt;='班次明細'!$H$15,OR('班次明細'!$K$15=0,$C57&lt;='班次明細'!$I$15,$B57&gt;='班次明細'!$J$15)),1,0)+IF(AND('班次明細'!$L$22&gt;0,$B57&gt;='班次明細'!$G$22,$C57&lt;='班次明細'!$H$22,OR('班次明細'!$K$22=0,$C57&lt;='班次明細'!$I$22,$B57&gt;='班次明細'!$J$22)),1,0)+IF(AND('班次明細'!$L$29&gt;0,$B57&gt;='班次明細'!$G$29,$C57&lt;='班次明細'!$H$29,OR('班次明細'!$K$29=0,$C57&lt;='班次明細'!$I$29,$B57&gt;='班次明細'!$J$29)),1,0)+IF(AND('班次明細'!$L$36&gt;0,$B57&gt;='班次明細'!$G$36,$C57&lt;='班次明細'!$H$36,OR('班次明細'!$K$36=0,$C57&lt;='班次明細'!$I$36,$B57&gt;='班次明細'!$J$36)),1,0)+IF(AND('班次明細'!$L$43&gt;0,$B57&gt;='班次明細'!$G$43,$C57&lt;='班次明細'!$H$43,OR('班次明細'!$K$43=0,$C57&lt;='班次明細'!$I$43,$B57&gt;='班次明細'!$J$43)),1,0)+IF(AND('班次明細'!$L$50&gt;0,$B57&gt;='班次明細'!$G$50,$C57&lt;='班次明細'!$H$50,OR('班次明細'!$K$50=0,$C57&lt;='班次明細'!$I$50,$B57&gt;='班次明細'!$J$50)),1,0)+IF(AND('班次明細'!$L$57&gt;0,$B57&gt;='班次明細'!$G$57,$C57&lt;='班次明細'!$H$57,OR('班次明細'!$K$57=0,$C57&lt;='班次明細'!$I$57,$B57&gt;='班次明細'!$J$57)),1,0)+IF(AND('班次明細'!$L$64&gt;0,$B57&gt;='班次明細'!$G$64,$C57&lt;='班次明細'!$H$64,OR('班次明細'!$K$64=0,$C57&lt;='班次明細'!$I$64,$B57&gt;='班次明細'!$J$64)),1,0)+IF(AND('班次明細'!$L$71&gt;0,$B57&gt;='班次明細'!$G$71,$C57&lt;='班次明細'!$H$71,OR('班次明細'!$K$71=0,$C57&lt;='班次明細'!$I$71,$B57&gt;='班次明細'!$J$71)),1,0)+IF(AND('班次明細'!$L$78&gt;0,$B57&gt;='班次明細'!$G$78,$C57&lt;='班次明細'!$H$78,OR('班次明細'!$K$78=0,$C57&lt;='班次明細'!$I$78,$B57&gt;='班次明細'!$J$78)),1,0)</x:f>
        <x:v>4</x:v>
      </x:c>
      <x:c r="H57" s="2" t="n">
        <x:f>MAX(0,E57-G57)</x:f>
        <x:v>0</x:v>
      </x:c>
      <x:c r="I57" s="2" t="n">
        <x:f>IF(F57="",0,MAX(0,G57-F57))</x:f>
        <x:v>0</x:v>
      </x:c>
      <x:c r="J57" s="2" t="n">
        <x:v>0</x:v>
      </x:c>
      <x:c r="K57" s="11" t="str"/>
      <x:c r="L57" s="11" t="str">
        <x:f>IF(OR(H57&gt;0,J57&gt;0),"營運參考／主管現場協調",IF(I57&gt;0,"營運參考／主管現場協調","本段人力足夠"))</x:f>
        <x:v>本段人力足夠</x:v>
      </x:c>
    </x:row>
    <x:row r="58" ht="42" customHeight="1">
      <x:c r="A58" s="12" t="n">
        <x:v>46281</x:v>
      </x:c>
      <x:c r="B58" s="13" t="n">
        <x:v>0.5</x:v>
      </x:c>
      <x:c r="C58" s="13" t="n">
        <x:v>0.5208333333333334</x:v>
      </x:c>
      <x:c r="D58" s="2" t="str">
        <x:v>平日午峰</x:v>
      </x:c>
      <x:c r="E58" s="2" t="n">
        <x:v>4</x:v>
      </x:c>
      <x:c r="F58" s="2" t="n">
        <x:v>4</x:v>
      </x:c>
      <x:c r="G58" s="2" t="n">
        <x:f>IF(AND('班次明細'!$L$8&gt;0,$B58&gt;='班次明細'!$G$8,$C58&lt;='班次明細'!$H$8,OR('班次明細'!$K$8=0,$C58&lt;='班次明細'!$I$8,$B58&gt;='班次明細'!$J$8)),1,0)+IF(AND('班次明細'!$L$15&gt;0,$B58&gt;='班次明細'!$G$15,$C58&lt;='班次明細'!$H$15,OR('班次明細'!$K$15=0,$C58&lt;='班次明細'!$I$15,$B58&gt;='班次明細'!$J$15)),1,0)+IF(AND('班次明細'!$L$22&gt;0,$B58&gt;='班次明細'!$G$22,$C58&lt;='班次明細'!$H$22,OR('班次明細'!$K$22=0,$C58&lt;='班次明細'!$I$22,$B58&gt;='班次明細'!$J$22)),1,0)+IF(AND('班次明細'!$L$29&gt;0,$B58&gt;='班次明細'!$G$29,$C58&lt;='班次明細'!$H$29,OR('班次明細'!$K$29=0,$C58&lt;='班次明細'!$I$29,$B58&gt;='班次明細'!$J$29)),1,0)+IF(AND('班次明細'!$L$36&gt;0,$B58&gt;='班次明細'!$G$36,$C58&lt;='班次明細'!$H$36,OR('班次明細'!$K$36=0,$C58&lt;='班次明細'!$I$36,$B58&gt;='班次明細'!$J$36)),1,0)+IF(AND('班次明細'!$L$43&gt;0,$B58&gt;='班次明細'!$G$43,$C58&lt;='班次明細'!$H$43,OR('班次明細'!$K$43=0,$C58&lt;='班次明細'!$I$43,$B58&gt;='班次明細'!$J$43)),1,0)+IF(AND('班次明細'!$L$50&gt;0,$B58&gt;='班次明細'!$G$50,$C58&lt;='班次明細'!$H$50,OR('班次明細'!$K$50=0,$C58&lt;='班次明細'!$I$50,$B58&gt;='班次明細'!$J$50)),1,0)+IF(AND('班次明細'!$L$57&gt;0,$B58&gt;='班次明細'!$G$57,$C58&lt;='班次明細'!$H$57,OR('班次明細'!$K$57=0,$C58&lt;='班次明細'!$I$57,$B58&gt;='班次明細'!$J$57)),1,0)+IF(AND('班次明細'!$L$64&gt;0,$B58&gt;='班次明細'!$G$64,$C58&lt;='班次明細'!$H$64,OR('班次明細'!$K$64=0,$C58&lt;='班次明細'!$I$64,$B58&gt;='班次明細'!$J$64)),1,0)+IF(AND('班次明細'!$L$71&gt;0,$B58&gt;='班次明細'!$G$71,$C58&lt;='班次明細'!$H$71,OR('班次明細'!$K$71=0,$C58&lt;='班次明細'!$I$71,$B58&gt;='班次明細'!$J$71)),1,0)+IF(AND('班次明細'!$L$78&gt;0,$B58&gt;='班次明細'!$G$78,$C58&lt;='班次明細'!$H$78,OR('班次明細'!$K$78=0,$C58&lt;='班次明細'!$I$78,$B58&gt;='班次明細'!$J$78)),1,0)</x:f>
        <x:v>4</x:v>
      </x:c>
      <x:c r="H58" s="2" t="n">
        <x:f>MAX(0,E58-G58)</x:f>
        <x:v>0</x:v>
      </x:c>
      <x:c r="I58" s="2" t="n">
        <x:f>IF(F58="",0,MAX(0,G58-F58))</x:f>
        <x:v>0</x:v>
      </x:c>
      <x:c r="J58" s="2" t="n">
        <x:v>0</x:v>
      </x:c>
      <x:c r="K58" s="11" t="str"/>
      <x:c r="L58" s="11" t="str">
        <x:f>IF(OR(H58&gt;0,J58&gt;0),"營運參考／主管現場協調",IF(I58&gt;0,"營運參考／主管現場協調","本段人力足夠"))</x:f>
        <x:v>本段人力足夠</x:v>
      </x:c>
    </x:row>
    <x:row r="59" ht="42" customHeight="1">
      <x:c r="A59" s="12" t="n">
        <x:v>46281</x:v>
      </x:c>
      <x:c r="B59" s="13" t="n">
        <x:v>0.5208333333333334</x:v>
      </x:c>
      <x:c r="C59" s="13" t="n">
        <x:v>0.5416666666666666</x:v>
      </x:c>
      <x:c r="D59" s="2" t="str">
        <x:v>平日午峰</x:v>
      </x:c>
      <x:c r="E59" s="2" t="n">
        <x:v>4</x:v>
      </x:c>
      <x:c r="F59" s="2" t="n">
        <x:v>4</x:v>
      </x:c>
      <x:c r="G59" s="2" t="n">
        <x:f>IF(AND('班次明細'!$L$8&gt;0,$B59&gt;='班次明細'!$G$8,$C59&lt;='班次明細'!$H$8,OR('班次明細'!$K$8=0,$C59&lt;='班次明細'!$I$8,$B59&gt;='班次明細'!$J$8)),1,0)+IF(AND('班次明細'!$L$15&gt;0,$B59&gt;='班次明細'!$G$15,$C59&lt;='班次明細'!$H$15,OR('班次明細'!$K$15=0,$C59&lt;='班次明細'!$I$15,$B59&gt;='班次明細'!$J$15)),1,0)+IF(AND('班次明細'!$L$22&gt;0,$B59&gt;='班次明細'!$G$22,$C59&lt;='班次明細'!$H$22,OR('班次明細'!$K$22=0,$C59&lt;='班次明細'!$I$22,$B59&gt;='班次明細'!$J$22)),1,0)+IF(AND('班次明細'!$L$29&gt;0,$B59&gt;='班次明細'!$G$29,$C59&lt;='班次明細'!$H$29,OR('班次明細'!$K$29=0,$C59&lt;='班次明細'!$I$29,$B59&gt;='班次明細'!$J$29)),1,0)+IF(AND('班次明細'!$L$36&gt;0,$B59&gt;='班次明細'!$G$36,$C59&lt;='班次明細'!$H$36,OR('班次明細'!$K$36=0,$C59&lt;='班次明細'!$I$36,$B59&gt;='班次明細'!$J$36)),1,0)+IF(AND('班次明細'!$L$43&gt;0,$B59&gt;='班次明細'!$G$43,$C59&lt;='班次明細'!$H$43,OR('班次明細'!$K$43=0,$C59&lt;='班次明細'!$I$43,$B59&gt;='班次明細'!$J$43)),1,0)+IF(AND('班次明細'!$L$50&gt;0,$B59&gt;='班次明細'!$G$50,$C59&lt;='班次明細'!$H$50,OR('班次明細'!$K$50=0,$C59&lt;='班次明細'!$I$50,$B59&gt;='班次明細'!$J$50)),1,0)+IF(AND('班次明細'!$L$57&gt;0,$B59&gt;='班次明細'!$G$57,$C59&lt;='班次明細'!$H$57,OR('班次明細'!$K$57=0,$C59&lt;='班次明細'!$I$57,$B59&gt;='班次明細'!$J$57)),1,0)+IF(AND('班次明細'!$L$64&gt;0,$B59&gt;='班次明細'!$G$64,$C59&lt;='班次明細'!$H$64,OR('班次明細'!$K$64=0,$C59&lt;='班次明細'!$I$64,$B59&gt;='班次明細'!$J$64)),1,0)+IF(AND('班次明細'!$L$71&gt;0,$B59&gt;='班次明細'!$G$71,$C59&lt;='班次明細'!$H$71,OR('班次明細'!$K$71=0,$C59&lt;='班次明細'!$I$71,$B59&gt;='班次明細'!$J$71)),1,0)+IF(AND('班次明細'!$L$78&gt;0,$B59&gt;='班次明細'!$G$78,$C59&lt;='班次明細'!$H$78,OR('班次明細'!$K$78=0,$C59&lt;='班次明細'!$I$78,$B59&gt;='班次明細'!$J$78)),1,0)</x:f>
        <x:v>4</x:v>
      </x:c>
      <x:c r="H59" s="2" t="n">
        <x:f>MAX(0,E59-G59)</x:f>
        <x:v>0</x:v>
      </x:c>
      <x:c r="I59" s="2" t="n">
        <x:f>IF(F59="",0,MAX(0,G59-F59))</x:f>
        <x:v>0</x:v>
      </x:c>
      <x:c r="J59" s="2" t="n">
        <x:v>0</x:v>
      </x:c>
      <x:c r="K59" s="11" t="str"/>
      <x:c r="L59" s="11" t="str">
        <x:f>IF(OR(H59&gt;0,J59&gt;0),"營運參考／主管現場協調",IF(I59&gt;0,"營運參考／主管現場協調","本段人力足夠"))</x:f>
        <x:v>本段人力足夠</x:v>
      </x:c>
    </x:row>
    <x:row r="60" ht="42" customHeight="1">
      <x:c r="A60" s="12" t="n">
        <x:v>46281</x:v>
      </x:c>
      <x:c r="B60" s="13" t="n">
        <x:v>0.5416666666666666</x:v>
      </x:c>
      <x:c r="C60" s="13" t="n">
        <x:v>0.5625</x:v>
      </x:c>
      <x:c r="D60" s="2" t="str">
        <x:v>平日午峰</x:v>
      </x:c>
      <x:c r="E60" s="2" t="n">
        <x:v>4</x:v>
      </x:c>
      <x:c r="F60" s="2" t="n">
        <x:v>4</x:v>
      </x:c>
      <x:c r="G60" s="2" t="n">
        <x:f>IF(AND('班次明細'!$L$8&gt;0,$B60&gt;='班次明細'!$G$8,$C60&lt;='班次明細'!$H$8,OR('班次明細'!$K$8=0,$C60&lt;='班次明細'!$I$8,$B60&gt;='班次明細'!$J$8)),1,0)+IF(AND('班次明細'!$L$15&gt;0,$B60&gt;='班次明細'!$G$15,$C60&lt;='班次明細'!$H$15,OR('班次明細'!$K$15=0,$C60&lt;='班次明細'!$I$15,$B60&gt;='班次明細'!$J$15)),1,0)+IF(AND('班次明細'!$L$22&gt;0,$B60&gt;='班次明細'!$G$22,$C60&lt;='班次明細'!$H$22,OR('班次明細'!$K$22=0,$C60&lt;='班次明細'!$I$22,$B60&gt;='班次明細'!$J$22)),1,0)+IF(AND('班次明細'!$L$29&gt;0,$B60&gt;='班次明細'!$G$29,$C60&lt;='班次明細'!$H$29,OR('班次明細'!$K$29=0,$C60&lt;='班次明細'!$I$29,$B60&gt;='班次明細'!$J$29)),1,0)+IF(AND('班次明細'!$L$36&gt;0,$B60&gt;='班次明細'!$G$36,$C60&lt;='班次明細'!$H$36,OR('班次明細'!$K$36=0,$C60&lt;='班次明細'!$I$36,$B60&gt;='班次明細'!$J$36)),1,0)+IF(AND('班次明細'!$L$43&gt;0,$B60&gt;='班次明細'!$G$43,$C60&lt;='班次明細'!$H$43,OR('班次明細'!$K$43=0,$C60&lt;='班次明細'!$I$43,$B60&gt;='班次明細'!$J$43)),1,0)+IF(AND('班次明細'!$L$50&gt;0,$B60&gt;='班次明細'!$G$50,$C60&lt;='班次明細'!$H$50,OR('班次明細'!$K$50=0,$C60&lt;='班次明細'!$I$50,$B60&gt;='班次明細'!$J$50)),1,0)+IF(AND('班次明細'!$L$57&gt;0,$B60&gt;='班次明細'!$G$57,$C60&lt;='班次明細'!$H$57,OR('班次明細'!$K$57=0,$C60&lt;='班次明細'!$I$57,$B60&gt;='班次明細'!$J$57)),1,0)+IF(AND('班次明細'!$L$64&gt;0,$B60&gt;='班次明細'!$G$64,$C60&lt;='班次明細'!$H$64,OR('班次明細'!$K$64=0,$C60&lt;='班次明細'!$I$64,$B60&gt;='班次明細'!$J$64)),1,0)+IF(AND('班次明細'!$L$71&gt;0,$B60&gt;='班次明細'!$G$71,$C60&lt;='班次明細'!$H$71,OR('班次明細'!$K$71=0,$C60&lt;='班次明細'!$I$71,$B60&gt;='班次明細'!$J$71)),1,0)+IF(AND('班次明細'!$L$78&gt;0,$B60&gt;='班次明細'!$G$78,$C60&lt;='班次明細'!$H$78,OR('班次明細'!$K$78=0,$C60&lt;='班次明細'!$I$78,$B60&gt;='班次明細'!$J$78)),1,0)</x:f>
        <x:v>3</x:v>
      </x:c>
      <x:c r="H60" s="2" t="n">
        <x:f>MAX(0,E60-G60)</x:f>
        <x:v>1</x:v>
      </x:c>
      <x:c r="I60" s="2" t="n">
        <x:f>IF(F60="",0,MAX(0,G60-F60))</x:f>
        <x:v>0</x:v>
      </x:c>
      <x:c r="J60" s="2" t="n">
        <x:v>1</x:v>
      </x:c>
      <x:c r="K60" s="11" t="str">
        <x:v>料區</x:v>
      </x:c>
      <x:c r="L60" s="11" t="str">
        <x:f>IF(OR(H60&gt;0,J60&gt;0),"營運參考／主管現場協調",IF(I60&gt;0,"營運參考／主管現場協調","本段人力足夠"))</x:f>
        <x:v>營運參考／主管現場協調</x:v>
      </x:c>
    </x:row>
    <x:row r="61" ht="42" customHeight="1">
      <x:c r="A61" s="12" t="n">
        <x:v>46281</x:v>
      </x:c>
      <x:c r="B61" s="13" t="n">
        <x:v>0.5625</x:v>
      </x:c>
      <x:c r="C61" s="13" t="n">
        <x:v>0.5833333333333334</x:v>
      </x:c>
      <x:c r="D61" s="2" t="str">
        <x:v>平日離峰</x:v>
      </x:c>
      <x:c r="E61" s="2" t="n">
        <x:v>2</x:v>
      </x:c>
      <x:c r="F61" s="2"/>
      <x:c r="G61" s="2" t="n">
        <x:f>IF(AND('班次明細'!$L$8&gt;0,$B61&gt;='班次明細'!$G$8,$C61&lt;='班次明細'!$H$8,OR('班次明細'!$K$8=0,$C61&lt;='班次明細'!$I$8,$B61&gt;='班次明細'!$J$8)),1,0)+IF(AND('班次明細'!$L$15&gt;0,$B61&gt;='班次明細'!$G$15,$C61&lt;='班次明細'!$H$15,OR('班次明細'!$K$15=0,$C61&lt;='班次明細'!$I$15,$B61&gt;='班次明細'!$J$15)),1,0)+IF(AND('班次明細'!$L$22&gt;0,$B61&gt;='班次明細'!$G$22,$C61&lt;='班次明細'!$H$22,OR('班次明細'!$K$22=0,$C61&lt;='班次明細'!$I$22,$B61&gt;='班次明細'!$J$22)),1,0)+IF(AND('班次明細'!$L$29&gt;0,$B61&gt;='班次明細'!$G$29,$C61&lt;='班次明細'!$H$29,OR('班次明細'!$K$29=0,$C61&lt;='班次明細'!$I$29,$B61&gt;='班次明細'!$J$29)),1,0)+IF(AND('班次明細'!$L$36&gt;0,$B61&gt;='班次明細'!$G$36,$C61&lt;='班次明細'!$H$36,OR('班次明細'!$K$36=0,$C61&lt;='班次明細'!$I$36,$B61&gt;='班次明細'!$J$36)),1,0)+IF(AND('班次明細'!$L$43&gt;0,$B61&gt;='班次明細'!$G$43,$C61&lt;='班次明細'!$H$43,OR('班次明細'!$K$43=0,$C61&lt;='班次明細'!$I$43,$B61&gt;='班次明細'!$J$43)),1,0)+IF(AND('班次明細'!$L$50&gt;0,$B61&gt;='班次明細'!$G$50,$C61&lt;='班次明細'!$H$50,OR('班次明細'!$K$50=0,$C61&lt;='班次明細'!$I$50,$B61&gt;='班次明細'!$J$50)),1,0)+IF(AND('班次明細'!$L$57&gt;0,$B61&gt;='班次明細'!$G$57,$C61&lt;='班次明細'!$H$57,OR('班次明細'!$K$57=0,$C61&lt;='班次明細'!$I$57,$B61&gt;='班次明細'!$J$57)),1,0)+IF(AND('班次明細'!$L$64&gt;0,$B61&gt;='班次明細'!$G$64,$C61&lt;='班次明細'!$H$64,OR('班次明細'!$K$64=0,$C61&lt;='班次明細'!$I$64,$B61&gt;='班次明細'!$J$64)),1,0)+IF(AND('班次明細'!$L$71&gt;0,$B61&gt;='班次明細'!$G$71,$C61&lt;='班次明細'!$H$71,OR('班次明細'!$K$71=0,$C61&lt;='班次明細'!$I$71,$B61&gt;='班次明細'!$J$71)),1,0)+IF(AND('班次明細'!$L$78&gt;0,$B61&gt;='班次明細'!$G$78,$C61&lt;='班次明細'!$H$78,OR('班次明細'!$K$78=0,$C61&lt;='班次明細'!$I$78,$B61&gt;='班次明細'!$J$78)),1,0)</x:f>
        <x:v>4</x:v>
      </x:c>
      <x:c r="H61" s="2" t="n">
        <x:f>MAX(0,E61-G61)</x:f>
        <x:v>0</x:v>
      </x:c>
      <x:c r="I61" s="2" t="n">
        <x:f>IF(F61="",0,MAX(0,G61-F61))</x:f>
        <x:v>0</x:v>
      </x:c>
      <x:c r="J61" s="2" t="n">
        <x:v>0</x:v>
      </x:c>
      <x:c r="K61" s="11" t="str"/>
      <x:c r="L61" s="11" t="str">
        <x:f>IF(OR(H61&gt;0,J61&gt;0),"營運參考／主管現場協調",IF(I61&gt;0,"營運參考／主管現場協調","本段人力足夠"))</x:f>
        <x:v>本段人力足夠</x:v>
      </x:c>
    </x:row>
    <x:row r="62" ht="42" customHeight="1">
      <x:c r="A62" s="12" t="n">
        <x:v>46281</x:v>
      </x:c>
      <x:c r="B62" s="13" t="n">
        <x:v>0.5833333333333334</x:v>
      </x:c>
      <x:c r="C62" s="13" t="n">
        <x:v>0.6041666666666666</x:v>
      </x:c>
      <x:c r="D62" s="2" t="str">
        <x:v>平日離峰</x:v>
      </x:c>
      <x:c r="E62" s="2" t="n">
        <x:v>2</x:v>
      </x:c>
      <x:c r="F62" s="2"/>
      <x:c r="G62" s="2" t="n">
        <x:f>IF(AND('班次明細'!$L$8&gt;0,$B62&gt;='班次明細'!$G$8,$C62&lt;='班次明細'!$H$8,OR('班次明細'!$K$8=0,$C62&lt;='班次明細'!$I$8,$B62&gt;='班次明細'!$J$8)),1,0)+IF(AND('班次明細'!$L$15&gt;0,$B62&gt;='班次明細'!$G$15,$C62&lt;='班次明細'!$H$15,OR('班次明細'!$K$15=0,$C62&lt;='班次明細'!$I$15,$B62&gt;='班次明細'!$J$15)),1,0)+IF(AND('班次明細'!$L$22&gt;0,$B62&gt;='班次明細'!$G$22,$C62&lt;='班次明細'!$H$22,OR('班次明細'!$K$22=0,$C62&lt;='班次明細'!$I$22,$B62&gt;='班次明細'!$J$22)),1,0)+IF(AND('班次明細'!$L$29&gt;0,$B62&gt;='班次明細'!$G$29,$C62&lt;='班次明細'!$H$29,OR('班次明細'!$K$29=0,$C62&lt;='班次明細'!$I$29,$B62&gt;='班次明細'!$J$29)),1,0)+IF(AND('班次明細'!$L$36&gt;0,$B62&gt;='班次明細'!$G$36,$C62&lt;='班次明細'!$H$36,OR('班次明細'!$K$36=0,$C62&lt;='班次明細'!$I$36,$B62&gt;='班次明細'!$J$36)),1,0)+IF(AND('班次明細'!$L$43&gt;0,$B62&gt;='班次明細'!$G$43,$C62&lt;='班次明細'!$H$43,OR('班次明細'!$K$43=0,$C62&lt;='班次明細'!$I$43,$B62&gt;='班次明細'!$J$43)),1,0)+IF(AND('班次明細'!$L$50&gt;0,$B62&gt;='班次明細'!$G$50,$C62&lt;='班次明細'!$H$50,OR('班次明細'!$K$50=0,$C62&lt;='班次明細'!$I$50,$B62&gt;='班次明細'!$J$50)),1,0)+IF(AND('班次明細'!$L$57&gt;0,$B62&gt;='班次明細'!$G$57,$C62&lt;='班次明細'!$H$57,OR('班次明細'!$K$57=0,$C62&lt;='班次明細'!$I$57,$B62&gt;='班次明細'!$J$57)),1,0)+IF(AND('班次明細'!$L$64&gt;0,$B62&gt;='班次明細'!$G$64,$C62&lt;='班次明細'!$H$64,OR('班次明細'!$K$64=0,$C62&lt;='班次明細'!$I$64,$B62&gt;='班次明細'!$J$64)),1,0)+IF(AND('班次明細'!$L$71&gt;0,$B62&gt;='班次明細'!$G$71,$C62&lt;='班次明細'!$H$71,OR('班次明細'!$K$71=0,$C62&lt;='班次明細'!$I$71,$B62&gt;='班次明細'!$J$71)),1,0)+IF(AND('班次明細'!$L$78&gt;0,$B62&gt;='班次明細'!$G$78,$C62&lt;='班次明細'!$H$78,OR('班次明細'!$K$78=0,$C62&lt;='班次明細'!$I$78,$B62&gt;='班次明細'!$J$78)),1,0)</x:f>
        <x:v>4</x:v>
      </x:c>
      <x:c r="H62" s="2" t="n">
        <x:f>MAX(0,E62-G62)</x:f>
        <x:v>0</x:v>
      </x:c>
      <x:c r="I62" s="2" t="n">
        <x:f>IF(F62="",0,MAX(0,G62-F62))</x:f>
        <x:v>0</x:v>
      </x:c>
      <x:c r="J62" s="2" t="n">
        <x:v>0</x:v>
      </x:c>
      <x:c r="K62" s="11" t="str"/>
      <x:c r="L62" s="11" t="str">
        <x:f>IF(OR(H62&gt;0,J62&gt;0),"營運參考／主管現場協調",IF(I62&gt;0,"營運參考／主管現場協調","本段人力足夠"))</x:f>
        <x:v>本段人力足夠</x:v>
      </x:c>
    </x:row>
    <x:row r="63" ht="42" customHeight="1">
      <x:c r="A63" s="12" t="n">
        <x:v>46281</x:v>
      </x:c>
      <x:c r="B63" s="13" t="n">
        <x:v>0.6041666666666666</x:v>
      </x:c>
      <x:c r="C63" s="13" t="n">
        <x:v>0.625</x:v>
      </x:c>
      <x:c r="D63" s="2" t="str">
        <x:v>平日離峰</x:v>
      </x:c>
      <x:c r="E63" s="2" t="n">
        <x:v>2</x:v>
      </x:c>
      <x:c r="F63" s="2"/>
      <x:c r="G63" s="2" t="n">
        <x:f>IF(AND('班次明細'!$L$8&gt;0,$B63&gt;='班次明細'!$G$8,$C63&lt;='班次明細'!$H$8,OR('班次明細'!$K$8=0,$C63&lt;='班次明細'!$I$8,$B63&gt;='班次明細'!$J$8)),1,0)+IF(AND('班次明細'!$L$15&gt;0,$B63&gt;='班次明細'!$G$15,$C63&lt;='班次明細'!$H$15,OR('班次明細'!$K$15=0,$C63&lt;='班次明細'!$I$15,$B63&gt;='班次明細'!$J$15)),1,0)+IF(AND('班次明細'!$L$22&gt;0,$B63&gt;='班次明細'!$G$22,$C63&lt;='班次明細'!$H$22,OR('班次明細'!$K$22=0,$C63&lt;='班次明細'!$I$22,$B63&gt;='班次明細'!$J$22)),1,0)+IF(AND('班次明細'!$L$29&gt;0,$B63&gt;='班次明細'!$G$29,$C63&lt;='班次明細'!$H$29,OR('班次明細'!$K$29=0,$C63&lt;='班次明細'!$I$29,$B63&gt;='班次明細'!$J$29)),1,0)+IF(AND('班次明細'!$L$36&gt;0,$B63&gt;='班次明細'!$G$36,$C63&lt;='班次明細'!$H$36,OR('班次明細'!$K$36=0,$C63&lt;='班次明細'!$I$36,$B63&gt;='班次明細'!$J$36)),1,0)+IF(AND('班次明細'!$L$43&gt;0,$B63&gt;='班次明細'!$G$43,$C63&lt;='班次明細'!$H$43,OR('班次明細'!$K$43=0,$C63&lt;='班次明細'!$I$43,$B63&gt;='班次明細'!$J$43)),1,0)+IF(AND('班次明細'!$L$50&gt;0,$B63&gt;='班次明細'!$G$50,$C63&lt;='班次明細'!$H$50,OR('班次明細'!$K$50=0,$C63&lt;='班次明細'!$I$50,$B63&gt;='班次明細'!$J$50)),1,0)+IF(AND('班次明細'!$L$57&gt;0,$B63&gt;='班次明細'!$G$57,$C63&lt;='班次明細'!$H$57,OR('班次明細'!$K$57=0,$C63&lt;='班次明細'!$I$57,$B63&gt;='班次明細'!$J$57)),1,0)+IF(AND('班次明細'!$L$64&gt;0,$B63&gt;='班次明細'!$G$64,$C63&lt;='班次明細'!$H$64,OR('班次明細'!$K$64=0,$C63&lt;='班次明細'!$I$64,$B63&gt;='班次明細'!$J$64)),1,0)+IF(AND('班次明細'!$L$71&gt;0,$B63&gt;='班次明細'!$G$71,$C63&lt;='班次明細'!$H$71,OR('班次明細'!$K$71=0,$C63&lt;='班次明細'!$I$71,$B63&gt;='班次明細'!$J$71)),1,0)+IF(AND('班次明細'!$L$78&gt;0,$B63&gt;='班次明細'!$G$78,$C63&lt;='班次明細'!$H$78,OR('班次明細'!$K$78=0,$C63&lt;='班次明細'!$I$78,$B63&gt;='班次明細'!$J$78)),1,0)</x:f>
        <x:v>3</x:v>
      </x:c>
      <x:c r="H63" s="2" t="n">
        <x:f>MAX(0,E63-G63)</x:f>
        <x:v>0</x:v>
      </x:c>
      <x:c r="I63" s="2" t="n">
        <x:f>IF(F63="",0,MAX(0,G63-F63))</x:f>
        <x:v>0</x:v>
      </x:c>
      <x:c r="J63" s="2" t="n">
        <x:v>0</x:v>
      </x:c>
      <x:c r="K63" s="11" t="str"/>
      <x:c r="L63" s="11" t="str">
        <x:f>IF(OR(H63&gt;0,J63&gt;0),"營運參考／主管現場協調",IF(I63&gt;0,"營運參考／主管現場協調","本段人力足夠"))</x:f>
        <x:v>本段人力足夠</x:v>
      </x:c>
    </x:row>
    <x:row r="64" ht="42" customHeight="1">
      <x:c r="A64" s="12" t="n">
        <x:v>46281</x:v>
      </x:c>
      <x:c r="B64" s="13" t="n">
        <x:v>0.625</x:v>
      </x:c>
      <x:c r="C64" s="13" t="n">
        <x:v>0.6458333333333334</x:v>
      </x:c>
      <x:c r="D64" s="2" t="str">
        <x:v>平日離峰</x:v>
      </x:c>
      <x:c r="E64" s="2" t="n">
        <x:v>2</x:v>
      </x:c>
      <x:c r="F64" s="2"/>
      <x:c r="G64" s="2" t="n">
        <x:f>IF(AND('班次明細'!$L$8&gt;0,$B64&gt;='班次明細'!$G$8,$C64&lt;='班次明細'!$H$8,OR('班次明細'!$K$8=0,$C64&lt;='班次明細'!$I$8,$B64&gt;='班次明細'!$J$8)),1,0)+IF(AND('班次明細'!$L$15&gt;0,$B64&gt;='班次明細'!$G$15,$C64&lt;='班次明細'!$H$15,OR('班次明細'!$K$15=0,$C64&lt;='班次明細'!$I$15,$B64&gt;='班次明細'!$J$15)),1,0)+IF(AND('班次明細'!$L$22&gt;0,$B64&gt;='班次明細'!$G$22,$C64&lt;='班次明細'!$H$22,OR('班次明細'!$K$22=0,$C64&lt;='班次明細'!$I$22,$B64&gt;='班次明細'!$J$22)),1,0)+IF(AND('班次明細'!$L$29&gt;0,$B64&gt;='班次明細'!$G$29,$C64&lt;='班次明細'!$H$29,OR('班次明細'!$K$29=0,$C64&lt;='班次明細'!$I$29,$B64&gt;='班次明細'!$J$29)),1,0)+IF(AND('班次明細'!$L$36&gt;0,$B64&gt;='班次明細'!$G$36,$C64&lt;='班次明細'!$H$36,OR('班次明細'!$K$36=0,$C64&lt;='班次明細'!$I$36,$B64&gt;='班次明細'!$J$36)),1,0)+IF(AND('班次明細'!$L$43&gt;0,$B64&gt;='班次明細'!$G$43,$C64&lt;='班次明細'!$H$43,OR('班次明細'!$K$43=0,$C64&lt;='班次明細'!$I$43,$B64&gt;='班次明細'!$J$43)),1,0)+IF(AND('班次明細'!$L$50&gt;0,$B64&gt;='班次明細'!$G$50,$C64&lt;='班次明細'!$H$50,OR('班次明細'!$K$50=0,$C64&lt;='班次明細'!$I$50,$B64&gt;='班次明細'!$J$50)),1,0)+IF(AND('班次明細'!$L$57&gt;0,$B64&gt;='班次明細'!$G$57,$C64&lt;='班次明細'!$H$57,OR('班次明細'!$K$57=0,$C64&lt;='班次明細'!$I$57,$B64&gt;='班次明細'!$J$57)),1,0)+IF(AND('班次明細'!$L$64&gt;0,$B64&gt;='班次明細'!$G$64,$C64&lt;='班次明細'!$H$64,OR('班次明細'!$K$64=0,$C64&lt;='班次明細'!$I$64,$B64&gt;='班次明細'!$J$64)),1,0)+IF(AND('班次明細'!$L$71&gt;0,$B64&gt;='班次明細'!$G$71,$C64&lt;='班次明細'!$H$71,OR('班次明細'!$K$71=0,$C64&lt;='班次明細'!$I$71,$B64&gt;='班次明細'!$J$71)),1,0)+IF(AND('班次明細'!$L$78&gt;0,$B64&gt;='班次明細'!$G$78,$C64&lt;='班次明細'!$H$78,OR('班次明細'!$K$78=0,$C64&lt;='班次明細'!$I$78,$B64&gt;='班次明細'!$J$78)),1,0)</x:f>
        <x:v>2</x:v>
      </x:c>
      <x:c r="H64" s="2" t="n">
        <x:f>MAX(0,E64-G64)</x:f>
        <x:v>0</x:v>
      </x:c>
      <x:c r="I64" s="2" t="n">
        <x:f>IF(F64="",0,MAX(0,G64-F64))</x:f>
        <x:v>0</x:v>
      </x:c>
      <x:c r="J64" s="2" t="n">
        <x:v>0</x:v>
      </x:c>
      <x:c r="K64" s="11" t="str"/>
      <x:c r="L64" s="11" t="str">
        <x:f>IF(OR(H64&gt;0,J64&gt;0),"營運參考／主管現場協調",IF(I64&gt;0,"營運參考／主管現場協調","本段人力足夠"))</x:f>
        <x:v>本段人力足夠</x:v>
      </x:c>
    </x:row>
    <x:row r="65" ht="42" customHeight="1">
      <x:c r="A65" s="12" t="n">
        <x:v>46281</x:v>
      </x:c>
      <x:c r="B65" s="13" t="n">
        <x:v>0.6458333333333334</x:v>
      </x:c>
      <x:c r="C65" s="13" t="n">
        <x:v>0.6666666666666666</x:v>
      </x:c>
      <x:c r="D65" s="2" t="str">
        <x:v>平日離峰</x:v>
      </x:c>
      <x:c r="E65" s="2" t="n">
        <x:v>2</x:v>
      </x:c>
      <x:c r="F65" s="2"/>
      <x:c r="G65" s="2" t="n">
        <x:f>IF(AND('班次明細'!$L$8&gt;0,$B65&gt;='班次明細'!$G$8,$C65&lt;='班次明細'!$H$8,OR('班次明細'!$K$8=0,$C65&lt;='班次明細'!$I$8,$B65&gt;='班次明細'!$J$8)),1,0)+IF(AND('班次明細'!$L$15&gt;0,$B65&gt;='班次明細'!$G$15,$C65&lt;='班次明細'!$H$15,OR('班次明細'!$K$15=0,$C65&lt;='班次明細'!$I$15,$B65&gt;='班次明細'!$J$15)),1,0)+IF(AND('班次明細'!$L$22&gt;0,$B65&gt;='班次明細'!$G$22,$C65&lt;='班次明細'!$H$22,OR('班次明細'!$K$22=0,$C65&lt;='班次明細'!$I$22,$B65&gt;='班次明細'!$J$22)),1,0)+IF(AND('班次明細'!$L$29&gt;0,$B65&gt;='班次明細'!$G$29,$C65&lt;='班次明細'!$H$29,OR('班次明細'!$K$29=0,$C65&lt;='班次明細'!$I$29,$B65&gt;='班次明細'!$J$29)),1,0)+IF(AND('班次明細'!$L$36&gt;0,$B65&gt;='班次明細'!$G$36,$C65&lt;='班次明細'!$H$36,OR('班次明細'!$K$36=0,$C65&lt;='班次明細'!$I$36,$B65&gt;='班次明細'!$J$36)),1,0)+IF(AND('班次明細'!$L$43&gt;0,$B65&gt;='班次明細'!$G$43,$C65&lt;='班次明細'!$H$43,OR('班次明細'!$K$43=0,$C65&lt;='班次明細'!$I$43,$B65&gt;='班次明細'!$J$43)),1,0)+IF(AND('班次明細'!$L$50&gt;0,$B65&gt;='班次明細'!$G$50,$C65&lt;='班次明細'!$H$50,OR('班次明細'!$K$50=0,$C65&lt;='班次明細'!$I$50,$B65&gt;='班次明細'!$J$50)),1,0)+IF(AND('班次明細'!$L$57&gt;0,$B65&gt;='班次明細'!$G$57,$C65&lt;='班次明細'!$H$57,OR('班次明細'!$K$57=0,$C65&lt;='班次明細'!$I$57,$B65&gt;='班次明細'!$J$57)),1,0)+IF(AND('班次明細'!$L$64&gt;0,$B65&gt;='班次明細'!$G$64,$C65&lt;='班次明細'!$H$64,OR('班次明細'!$K$64=0,$C65&lt;='班次明細'!$I$64,$B65&gt;='班次明細'!$J$64)),1,0)+IF(AND('班次明細'!$L$71&gt;0,$B65&gt;='班次明細'!$G$71,$C65&lt;='班次明細'!$H$71,OR('班次明細'!$K$71=0,$C65&lt;='班次明細'!$I$71,$B65&gt;='班次明細'!$J$71)),1,0)+IF(AND('班次明細'!$L$78&gt;0,$B65&gt;='班次明細'!$G$78,$C65&lt;='班次明細'!$H$78,OR('班次明細'!$K$78=0,$C65&lt;='班次明細'!$I$78,$B65&gt;='班次明細'!$J$78)),1,0)</x:f>
        <x:v>0</x:v>
      </x:c>
      <x:c r="H65" s="2" t="n">
        <x:f>MAX(0,E65-G65)</x:f>
        <x:v>2</x:v>
      </x:c>
      <x:c r="I65" s="2" t="n">
        <x:f>IF(F65="",0,MAX(0,G65-F65))</x:f>
        <x:v>0</x:v>
      </x:c>
      <x:c r="J65" s="2" t="n">
        <x:v>2</x:v>
      </x:c>
      <x:c r="K65" s="11" t="str"/>
      <x:c r="L65" s="11" t="str">
        <x:f>IF(OR(H65&gt;0,J65&gt;0),"營運參考／主管現場協調",IF(I65&gt;0,"營運參考／主管現場協調","本段人力足夠"))</x:f>
        <x:v>營運參考／主管現場協調</x:v>
      </x:c>
    </x:row>
    <x:row r="66" ht="42" customHeight="1">
      <x:c r="A66" s="12" t="n">
        <x:v>46281</x:v>
      </x:c>
      <x:c r="B66" s="13" t="n">
        <x:v>0.6666666666666666</x:v>
      </x:c>
      <x:c r="C66" s="13" t="n">
        <x:v>0.6875</x:v>
      </x:c>
      <x:c r="D66" s="2" t="str">
        <x:v>平日離峰</x:v>
      </x:c>
      <x:c r="E66" s="2" t="n">
        <x:v>2</x:v>
      </x:c>
      <x:c r="F66" s="2"/>
      <x:c r="G66" s="2" t="n">
        <x:f>IF(AND('班次明細'!$L$8&gt;0,$B66&gt;='班次明細'!$G$8,$C66&lt;='班次明細'!$H$8,OR('班次明細'!$K$8=0,$C66&lt;='班次明細'!$I$8,$B66&gt;='班次明細'!$J$8)),1,0)+IF(AND('班次明細'!$L$15&gt;0,$B66&gt;='班次明細'!$G$15,$C66&lt;='班次明細'!$H$15,OR('班次明細'!$K$15=0,$C66&lt;='班次明細'!$I$15,$B66&gt;='班次明細'!$J$15)),1,0)+IF(AND('班次明細'!$L$22&gt;0,$B66&gt;='班次明細'!$G$22,$C66&lt;='班次明細'!$H$22,OR('班次明細'!$K$22=0,$C66&lt;='班次明細'!$I$22,$B66&gt;='班次明細'!$J$22)),1,0)+IF(AND('班次明細'!$L$29&gt;0,$B66&gt;='班次明細'!$G$29,$C66&lt;='班次明細'!$H$29,OR('班次明細'!$K$29=0,$C66&lt;='班次明細'!$I$29,$B66&gt;='班次明細'!$J$29)),1,0)+IF(AND('班次明細'!$L$36&gt;0,$B66&gt;='班次明細'!$G$36,$C66&lt;='班次明細'!$H$36,OR('班次明細'!$K$36=0,$C66&lt;='班次明細'!$I$36,$B66&gt;='班次明細'!$J$36)),1,0)+IF(AND('班次明細'!$L$43&gt;0,$B66&gt;='班次明細'!$G$43,$C66&lt;='班次明細'!$H$43,OR('班次明細'!$K$43=0,$C66&lt;='班次明細'!$I$43,$B66&gt;='班次明細'!$J$43)),1,0)+IF(AND('班次明細'!$L$50&gt;0,$B66&gt;='班次明細'!$G$50,$C66&lt;='班次明細'!$H$50,OR('班次明細'!$K$50=0,$C66&lt;='班次明細'!$I$50,$B66&gt;='班次明細'!$J$50)),1,0)+IF(AND('班次明細'!$L$57&gt;0,$B66&gt;='班次明細'!$G$57,$C66&lt;='班次明細'!$H$57,OR('班次明細'!$K$57=0,$C66&lt;='班次明細'!$I$57,$B66&gt;='班次明細'!$J$57)),1,0)+IF(AND('班次明細'!$L$64&gt;0,$B66&gt;='班次明細'!$G$64,$C66&lt;='班次明細'!$H$64,OR('班次明細'!$K$64=0,$C66&lt;='班次明細'!$I$64,$B66&gt;='班次明細'!$J$64)),1,0)+IF(AND('班次明細'!$L$71&gt;0,$B66&gt;='班次明細'!$G$71,$C66&lt;='班次明細'!$H$71,OR('班次明細'!$K$71=0,$C66&lt;='班次明細'!$I$71,$B66&gt;='班次明細'!$J$71)),1,0)+IF(AND('班次明細'!$L$78&gt;0,$B66&gt;='班次明細'!$G$78,$C66&lt;='班次明細'!$H$78,OR('班次明細'!$K$78=0,$C66&lt;='班次明細'!$I$78,$B66&gt;='班次明細'!$J$78)),1,0)</x:f>
        <x:v>0</x:v>
      </x:c>
      <x:c r="H66" s="2" t="n">
        <x:f>MAX(0,E66-G66)</x:f>
        <x:v>2</x:v>
      </x:c>
      <x:c r="I66" s="2" t="n">
        <x:f>IF(F66="",0,MAX(0,G66-F66))</x:f>
        <x:v>0</x:v>
      </x:c>
      <x:c r="J66" s="2" t="n">
        <x:v>2</x:v>
      </x:c>
      <x:c r="K66" s="11" t="str"/>
      <x:c r="L66" s="11" t="str">
        <x:f>IF(OR(H66&gt;0,J66&gt;0),"營運參考／主管現場協調",IF(I66&gt;0,"營運參考／主管現場協調","本段人力足夠"))</x:f>
        <x:v>營運參考／主管現場協調</x:v>
      </x:c>
    </x:row>
    <x:row r="67" ht="42" customHeight="1">
      <x:c r="A67" s="12" t="n">
        <x:v>46281</x:v>
      </x:c>
      <x:c r="B67" s="13" t="n">
        <x:v>0.6875</x:v>
      </x:c>
      <x:c r="C67" s="13" t="n">
        <x:v>0.7083333333333334</x:v>
      </x:c>
      <x:c r="D67" s="2" t="str">
        <x:v>平日離峰</x:v>
      </x:c>
      <x:c r="E67" s="2" t="n">
        <x:v>2</x:v>
      </x:c>
      <x:c r="F67" s="2"/>
      <x:c r="G67" s="2" t="n">
        <x:f>IF(AND('班次明細'!$L$8&gt;0,$B67&gt;='班次明細'!$G$8,$C67&lt;='班次明細'!$H$8,OR('班次明細'!$K$8=0,$C67&lt;='班次明細'!$I$8,$B67&gt;='班次明細'!$J$8)),1,0)+IF(AND('班次明細'!$L$15&gt;0,$B67&gt;='班次明細'!$G$15,$C67&lt;='班次明細'!$H$15,OR('班次明細'!$K$15=0,$C67&lt;='班次明細'!$I$15,$B67&gt;='班次明細'!$J$15)),1,0)+IF(AND('班次明細'!$L$22&gt;0,$B67&gt;='班次明細'!$G$22,$C67&lt;='班次明細'!$H$22,OR('班次明細'!$K$22=0,$C67&lt;='班次明細'!$I$22,$B67&gt;='班次明細'!$J$22)),1,0)+IF(AND('班次明細'!$L$29&gt;0,$B67&gt;='班次明細'!$G$29,$C67&lt;='班次明細'!$H$29,OR('班次明細'!$K$29=0,$C67&lt;='班次明細'!$I$29,$B67&gt;='班次明細'!$J$29)),1,0)+IF(AND('班次明細'!$L$36&gt;0,$B67&gt;='班次明細'!$G$36,$C67&lt;='班次明細'!$H$36,OR('班次明細'!$K$36=0,$C67&lt;='班次明細'!$I$36,$B67&gt;='班次明細'!$J$36)),1,0)+IF(AND('班次明細'!$L$43&gt;0,$B67&gt;='班次明細'!$G$43,$C67&lt;='班次明細'!$H$43,OR('班次明細'!$K$43=0,$C67&lt;='班次明細'!$I$43,$B67&gt;='班次明細'!$J$43)),1,0)+IF(AND('班次明細'!$L$50&gt;0,$B67&gt;='班次明細'!$G$50,$C67&lt;='班次明細'!$H$50,OR('班次明細'!$K$50=0,$C67&lt;='班次明細'!$I$50,$B67&gt;='班次明細'!$J$50)),1,0)+IF(AND('班次明細'!$L$57&gt;0,$B67&gt;='班次明細'!$G$57,$C67&lt;='班次明細'!$H$57,OR('班次明細'!$K$57=0,$C67&lt;='班次明細'!$I$57,$B67&gt;='班次明細'!$J$57)),1,0)+IF(AND('班次明細'!$L$64&gt;0,$B67&gt;='班次明細'!$G$64,$C67&lt;='班次明細'!$H$64,OR('班次明細'!$K$64=0,$C67&lt;='班次明細'!$I$64,$B67&gt;='班次明細'!$J$64)),1,0)+IF(AND('班次明細'!$L$71&gt;0,$B67&gt;='班次明細'!$G$71,$C67&lt;='班次明細'!$H$71,OR('班次明細'!$K$71=0,$C67&lt;='班次明細'!$I$71,$B67&gt;='班次明細'!$J$71)),1,0)+IF(AND('班次明細'!$L$78&gt;0,$B67&gt;='班次明細'!$G$78,$C67&lt;='班次明細'!$H$78,OR('班次明細'!$K$78=0,$C67&lt;='班次明細'!$I$78,$B67&gt;='班次明細'!$J$78)),1,0)</x:f>
        <x:v>1</x:v>
      </x:c>
      <x:c r="H67" s="2" t="n">
        <x:f>MAX(0,E67-G67)</x:f>
        <x:v>1</x:v>
      </x:c>
      <x:c r="I67" s="2" t="n">
        <x:f>IF(F67="",0,MAX(0,G67-F67))</x:f>
        <x:v>0</x:v>
      </x:c>
      <x:c r="J67" s="2" t="n">
        <x:v>1</x:v>
      </x:c>
      <x:c r="K67" s="11" t="str"/>
      <x:c r="L67" s="11" t="str">
        <x:f>IF(OR(H67&gt;0,J67&gt;0),"營運參考／主管現場協調",IF(I67&gt;0,"營運參考／主管現場協調","本段人力足夠"))</x:f>
        <x:v>營運參考／主管現場協調</x:v>
      </x:c>
    </x:row>
    <x:row r="68" ht="42" customHeight="1">
      <x:c r="A68" s="12" t="n">
        <x:v>46281</x:v>
      </x:c>
      <x:c r="B68" s="13" t="n">
        <x:v>0.7083333333333334</x:v>
      </x:c>
      <x:c r="C68" s="13" t="n">
        <x:v>0.7291666666666666</x:v>
      </x:c>
      <x:c r="D68" s="2" t="str">
        <x:v>平日離峰</x:v>
      </x:c>
      <x:c r="E68" s="2" t="n">
        <x:v>2</x:v>
      </x:c>
      <x:c r="F68" s="2"/>
      <x:c r="G68" s="2" t="n">
        <x:f>IF(AND('班次明細'!$L$8&gt;0,$B68&gt;='班次明細'!$G$8,$C68&lt;='班次明細'!$H$8,OR('班次明細'!$K$8=0,$C68&lt;='班次明細'!$I$8,$B68&gt;='班次明細'!$J$8)),1,0)+IF(AND('班次明細'!$L$15&gt;0,$B68&gt;='班次明細'!$G$15,$C68&lt;='班次明細'!$H$15,OR('班次明細'!$K$15=0,$C68&lt;='班次明細'!$I$15,$B68&gt;='班次明細'!$J$15)),1,0)+IF(AND('班次明細'!$L$22&gt;0,$B68&gt;='班次明細'!$G$22,$C68&lt;='班次明細'!$H$22,OR('班次明細'!$K$22=0,$C68&lt;='班次明細'!$I$22,$B68&gt;='班次明細'!$J$22)),1,0)+IF(AND('班次明細'!$L$29&gt;0,$B68&gt;='班次明細'!$G$29,$C68&lt;='班次明細'!$H$29,OR('班次明細'!$K$29=0,$C68&lt;='班次明細'!$I$29,$B68&gt;='班次明細'!$J$29)),1,0)+IF(AND('班次明細'!$L$36&gt;0,$B68&gt;='班次明細'!$G$36,$C68&lt;='班次明細'!$H$36,OR('班次明細'!$K$36=0,$C68&lt;='班次明細'!$I$36,$B68&gt;='班次明細'!$J$36)),1,0)+IF(AND('班次明細'!$L$43&gt;0,$B68&gt;='班次明細'!$G$43,$C68&lt;='班次明細'!$H$43,OR('班次明細'!$K$43=0,$C68&lt;='班次明細'!$I$43,$B68&gt;='班次明細'!$J$43)),1,0)+IF(AND('班次明細'!$L$50&gt;0,$B68&gt;='班次明細'!$G$50,$C68&lt;='班次明細'!$H$50,OR('班次明細'!$K$50=0,$C68&lt;='班次明細'!$I$50,$B68&gt;='班次明細'!$J$50)),1,0)+IF(AND('班次明細'!$L$57&gt;0,$B68&gt;='班次明細'!$G$57,$C68&lt;='班次明細'!$H$57,OR('班次明細'!$K$57=0,$C68&lt;='班次明細'!$I$57,$B68&gt;='班次明細'!$J$57)),1,0)+IF(AND('班次明細'!$L$64&gt;0,$B68&gt;='班次明細'!$G$64,$C68&lt;='班次明細'!$H$64,OR('班次明細'!$K$64=0,$C68&lt;='班次明細'!$I$64,$B68&gt;='班次明細'!$J$64)),1,0)+IF(AND('班次明細'!$L$71&gt;0,$B68&gt;='班次明細'!$G$71,$C68&lt;='班次明細'!$H$71,OR('班次明細'!$K$71=0,$C68&lt;='班次明細'!$I$71,$B68&gt;='班次明細'!$J$71)),1,0)+IF(AND('班次明細'!$L$78&gt;0,$B68&gt;='班次明細'!$G$78,$C68&lt;='班次明細'!$H$78,OR('班次明細'!$K$78=0,$C68&lt;='班次明細'!$I$78,$B68&gt;='班次明細'!$J$78)),1,0)</x:f>
        <x:v>2</x:v>
      </x:c>
      <x:c r="H68" s="2" t="n">
        <x:f>MAX(0,E68-G68)</x:f>
        <x:v>0</x:v>
      </x:c>
      <x:c r="I68" s="2" t="n">
        <x:f>IF(F68="",0,MAX(0,G68-F68))</x:f>
        <x:v>0</x:v>
      </x:c>
      <x:c r="J68" s="2" t="n">
        <x:v>0</x:v>
      </x:c>
      <x:c r="K68" s="11" t="str"/>
      <x:c r="L68" s="11" t="str">
        <x:f>IF(OR(H68&gt;0,J68&gt;0),"營運參考／主管現場協調",IF(I68&gt;0,"營運參考／主管現場協調","本段人力足夠"))</x:f>
        <x:v>本段人力足夠</x:v>
      </x:c>
    </x:row>
    <x:row r="69" ht="42" customHeight="1">
      <x:c r="A69" s="12" t="n">
        <x:v>46281</x:v>
      </x:c>
      <x:c r="B69" s="13" t="n">
        <x:v>0.7291666666666666</x:v>
      </x:c>
      <x:c r="C69" s="13" t="n">
        <x:v>0.75</x:v>
      </x:c>
      <x:c r="D69" s="2" t="str">
        <x:v>平日晚峰</x:v>
      </x:c>
      <x:c r="E69" s="2" t="n">
        <x:v>5</x:v>
      </x:c>
      <x:c r="F69" s="2" t="n">
        <x:v>5</x:v>
      </x:c>
      <x:c r="G69" s="2" t="n">
        <x:f>IF(AND('班次明細'!$L$8&gt;0,$B69&gt;='班次明細'!$G$8,$C69&lt;='班次明細'!$H$8,OR('班次明細'!$K$8=0,$C69&lt;='班次明細'!$I$8,$B69&gt;='班次明細'!$J$8)),1,0)+IF(AND('班次明細'!$L$15&gt;0,$B69&gt;='班次明細'!$G$15,$C69&lt;='班次明細'!$H$15,OR('班次明細'!$K$15=0,$C69&lt;='班次明細'!$I$15,$B69&gt;='班次明細'!$J$15)),1,0)+IF(AND('班次明細'!$L$22&gt;0,$B69&gt;='班次明細'!$G$22,$C69&lt;='班次明細'!$H$22,OR('班次明細'!$K$22=0,$C69&lt;='班次明細'!$I$22,$B69&gt;='班次明細'!$J$22)),1,0)+IF(AND('班次明細'!$L$29&gt;0,$B69&gt;='班次明細'!$G$29,$C69&lt;='班次明細'!$H$29,OR('班次明細'!$K$29=0,$C69&lt;='班次明細'!$I$29,$B69&gt;='班次明細'!$J$29)),1,0)+IF(AND('班次明細'!$L$36&gt;0,$B69&gt;='班次明細'!$G$36,$C69&lt;='班次明細'!$H$36,OR('班次明細'!$K$36=0,$C69&lt;='班次明細'!$I$36,$B69&gt;='班次明細'!$J$36)),1,0)+IF(AND('班次明細'!$L$43&gt;0,$B69&gt;='班次明細'!$G$43,$C69&lt;='班次明細'!$H$43,OR('班次明細'!$K$43=0,$C69&lt;='班次明細'!$I$43,$B69&gt;='班次明細'!$J$43)),1,0)+IF(AND('班次明細'!$L$50&gt;0,$B69&gt;='班次明細'!$G$50,$C69&lt;='班次明細'!$H$50,OR('班次明細'!$K$50=0,$C69&lt;='班次明細'!$I$50,$B69&gt;='班次明細'!$J$50)),1,0)+IF(AND('班次明細'!$L$57&gt;0,$B69&gt;='班次明細'!$G$57,$C69&lt;='班次明細'!$H$57,OR('班次明細'!$K$57=0,$C69&lt;='班次明細'!$I$57,$B69&gt;='班次明細'!$J$57)),1,0)+IF(AND('班次明細'!$L$64&gt;0,$B69&gt;='班次明細'!$G$64,$C69&lt;='班次明細'!$H$64,OR('班次明細'!$K$64=0,$C69&lt;='班次明細'!$I$64,$B69&gt;='班次明細'!$J$64)),1,0)+IF(AND('班次明細'!$L$71&gt;0,$B69&gt;='班次明細'!$G$71,$C69&lt;='班次明細'!$H$71,OR('班次明細'!$K$71=0,$C69&lt;='班次明細'!$I$71,$B69&gt;='班次明細'!$J$71)),1,0)+IF(AND('班次明細'!$L$78&gt;0,$B69&gt;='班次明細'!$G$78,$C69&lt;='班次明細'!$H$78,OR('班次明細'!$K$78=0,$C69&lt;='班次明細'!$I$78,$B69&gt;='班次明細'!$J$78)),1,0)</x:f>
        <x:v>3</x:v>
      </x:c>
      <x:c r="H69" s="2" t="n">
        <x:f>MAX(0,E69-G69)</x:f>
        <x:v>2</x:v>
      </x:c>
      <x:c r="I69" s="2" t="n">
        <x:f>IF(F69="",0,MAX(0,G69-F69))</x:f>
        <x:v>0</x:v>
      </x:c>
      <x:c r="J69" s="2" t="n">
        <x:v>2</x:v>
      </x:c>
      <x:c r="K69" s="11" t="str">
        <x:v>料區、炸區</x:v>
      </x:c>
      <x:c r="L69" s="11" t="str">
        <x:f>IF(OR(H69&gt;0,J69&gt;0),"營運參考／主管現場協調",IF(I69&gt;0,"營運參考／主管現場協調","本段人力足夠"))</x:f>
        <x:v>營運參考／主管現場協調</x:v>
      </x:c>
    </x:row>
    <x:row r="70" ht="42" customHeight="1">
      <x:c r="A70" s="12" t="n">
        <x:v>46281</x:v>
      </x:c>
      <x:c r="B70" s="13" t="n">
        <x:v>0.75</x:v>
      </x:c>
      <x:c r="C70" s="13" t="n">
        <x:v>0.7708333333333334</x:v>
      </x:c>
      <x:c r="D70" s="2" t="str">
        <x:v>平日晚峰</x:v>
      </x:c>
      <x:c r="E70" s="2" t="n">
        <x:v>5</x:v>
      </x:c>
      <x:c r="F70" s="2" t="n">
        <x:v>5</x:v>
      </x:c>
      <x:c r="G70" s="2" t="n">
        <x:f>IF(AND('班次明細'!$L$8&gt;0,$B70&gt;='班次明細'!$G$8,$C70&lt;='班次明細'!$H$8,OR('班次明細'!$K$8=0,$C70&lt;='班次明細'!$I$8,$B70&gt;='班次明細'!$J$8)),1,0)+IF(AND('班次明細'!$L$15&gt;0,$B70&gt;='班次明細'!$G$15,$C70&lt;='班次明細'!$H$15,OR('班次明細'!$K$15=0,$C70&lt;='班次明細'!$I$15,$B70&gt;='班次明細'!$J$15)),1,0)+IF(AND('班次明細'!$L$22&gt;0,$B70&gt;='班次明細'!$G$22,$C70&lt;='班次明細'!$H$22,OR('班次明細'!$K$22=0,$C70&lt;='班次明細'!$I$22,$B70&gt;='班次明細'!$J$22)),1,0)+IF(AND('班次明細'!$L$29&gt;0,$B70&gt;='班次明細'!$G$29,$C70&lt;='班次明細'!$H$29,OR('班次明細'!$K$29=0,$C70&lt;='班次明細'!$I$29,$B70&gt;='班次明細'!$J$29)),1,0)+IF(AND('班次明細'!$L$36&gt;0,$B70&gt;='班次明細'!$G$36,$C70&lt;='班次明細'!$H$36,OR('班次明細'!$K$36=0,$C70&lt;='班次明細'!$I$36,$B70&gt;='班次明細'!$J$36)),1,0)+IF(AND('班次明細'!$L$43&gt;0,$B70&gt;='班次明細'!$G$43,$C70&lt;='班次明細'!$H$43,OR('班次明細'!$K$43=0,$C70&lt;='班次明細'!$I$43,$B70&gt;='班次明細'!$J$43)),1,0)+IF(AND('班次明細'!$L$50&gt;0,$B70&gt;='班次明細'!$G$50,$C70&lt;='班次明細'!$H$50,OR('班次明細'!$K$50=0,$C70&lt;='班次明細'!$I$50,$B70&gt;='班次明細'!$J$50)),1,0)+IF(AND('班次明細'!$L$57&gt;0,$B70&gt;='班次明細'!$G$57,$C70&lt;='班次明細'!$H$57,OR('班次明細'!$K$57=0,$C70&lt;='班次明細'!$I$57,$B70&gt;='班次明細'!$J$57)),1,0)+IF(AND('班次明細'!$L$64&gt;0,$B70&gt;='班次明細'!$G$64,$C70&lt;='班次明細'!$H$64,OR('班次明細'!$K$64=0,$C70&lt;='班次明細'!$I$64,$B70&gt;='班次明細'!$J$64)),1,0)+IF(AND('班次明細'!$L$71&gt;0,$B70&gt;='班次明細'!$G$71,$C70&lt;='班次明細'!$H$71,OR('班次明細'!$K$71=0,$C70&lt;='班次明細'!$I$71,$B70&gt;='班次明細'!$J$71)),1,0)+IF(AND('班次明細'!$L$78&gt;0,$B70&gt;='班次明細'!$G$78,$C70&lt;='班次明細'!$H$78,OR('班次明細'!$K$78=0,$C70&lt;='班次明細'!$I$78,$B70&gt;='班次明細'!$J$78)),1,0)</x:f>
        <x:v>5</x:v>
      </x:c>
      <x:c r="H70" s="2" t="n">
        <x:f>MAX(0,E70-G70)</x:f>
        <x:v>0</x:v>
      </x:c>
      <x:c r="I70" s="2" t="n">
        <x:f>IF(F70="",0,MAX(0,G70-F70))</x:f>
        <x:v>0</x:v>
      </x:c>
      <x:c r="J70" s="2" t="n">
        <x:v>0</x:v>
      </x:c>
      <x:c r="K70" s="11" t="str"/>
      <x:c r="L70" s="11" t="str">
        <x:f>IF(OR(H70&gt;0,J70&gt;0),"營運參考／主管現場協調",IF(I70&gt;0,"營運參考／主管現場協調","本段人力足夠"))</x:f>
        <x:v>本段人力足夠</x:v>
      </x:c>
    </x:row>
    <x:row r="71" ht="42" customHeight="1">
      <x:c r="A71" s="12" t="n">
        <x:v>46281</x:v>
      </x:c>
      <x:c r="B71" s="13" t="n">
        <x:v>0.7708333333333334</x:v>
      </x:c>
      <x:c r="C71" s="13" t="n">
        <x:v>0.7916666666666666</x:v>
      </x:c>
      <x:c r="D71" s="2" t="str">
        <x:v>平日晚峰</x:v>
      </x:c>
      <x:c r="E71" s="2" t="n">
        <x:v>5</x:v>
      </x:c>
      <x:c r="F71" s="2" t="n">
        <x:v>5</x:v>
      </x:c>
      <x:c r="G71" s="2" t="n">
        <x:f>IF(AND('班次明細'!$L$8&gt;0,$B71&gt;='班次明細'!$G$8,$C71&lt;='班次明細'!$H$8,OR('班次明細'!$K$8=0,$C71&lt;='班次明細'!$I$8,$B71&gt;='班次明細'!$J$8)),1,0)+IF(AND('班次明細'!$L$15&gt;0,$B71&gt;='班次明細'!$G$15,$C71&lt;='班次明細'!$H$15,OR('班次明細'!$K$15=0,$C71&lt;='班次明細'!$I$15,$B71&gt;='班次明細'!$J$15)),1,0)+IF(AND('班次明細'!$L$22&gt;0,$B71&gt;='班次明細'!$G$22,$C71&lt;='班次明細'!$H$22,OR('班次明細'!$K$22=0,$C71&lt;='班次明細'!$I$22,$B71&gt;='班次明細'!$J$22)),1,0)+IF(AND('班次明細'!$L$29&gt;0,$B71&gt;='班次明細'!$G$29,$C71&lt;='班次明細'!$H$29,OR('班次明細'!$K$29=0,$C71&lt;='班次明細'!$I$29,$B71&gt;='班次明細'!$J$29)),1,0)+IF(AND('班次明細'!$L$36&gt;0,$B71&gt;='班次明細'!$G$36,$C71&lt;='班次明細'!$H$36,OR('班次明細'!$K$36=0,$C71&lt;='班次明細'!$I$36,$B71&gt;='班次明細'!$J$36)),1,0)+IF(AND('班次明細'!$L$43&gt;0,$B71&gt;='班次明細'!$G$43,$C71&lt;='班次明細'!$H$43,OR('班次明細'!$K$43=0,$C71&lt;='班次明細'!$I$43,$B71&gt;='班次明細'!$J$43)),1,0)+IF(AND('班次明細'!$L$50&gt;0,$B71&gt;='班次明細'!$G$50,$C71&lt;='班次明細'!$H$50,OR('班次明細'!$K$50=0,$C71&lt;='班次明細'!$I$50,$B71&gt;='班次明細'!$J$50)),1,0)+IF(AND('班次明細'!$L$57&gt;0,$B71&gt;='班次明細'!$G$57,$C71&lt;='班次明細'!$H$57,OR('班次明細'!$K$57=0,$C71&lt;='班次明細'!$I$57,$B71&gt;='班次明細'!$J$57)),1,0)+IF(AND('班次明細'!$L$64&gt;0,$B71&gt;='班次明細'!$G$64,$C71&lt;='班次明細'!$H$64,OR('班次明細'!$K$64=0,$C71&lt;='班次明細'!$I$64,$B71&gt;='班次明細'!$J$64)),1,0)+IF(AND('班次明細'!$L$71&gt;0,$B71&gt;='班次明細'!$G$71,$C71&lt;='班次明細'!$H$71,OR('班次明細'!$K$71=0,$C71&lt;='班次明細'!$I$71,$B71&gt;='班次明細'!$J$71)),1,0)+IF(AND('班次明細'!$L$78&gt;0,$B71&gt;='班次明細'!$G$78,$C71&lt;='班次明細'!$H$78,OR('班次明細'!$K$78=0,$C71&lt;='班次明細'!$I$78,$B71&gt;='班次明細'!$J$78)),1,0)</x:f>
        <x:v>5</x:v>
      </x:c>
      <x:c r="H71" s="2" t="n">
        <x:f>MAX(0,E71-G71)</x:f>
        <x:v>0</x:v>
      </x:c>
      <x:c r="I71" s="2" t="n">
        <x:f>IF(F71="",0,MAX(0,G71-F71))</x:f>
        <x:v>0</x:v>
      </x:c>
      <x:c r="J71" s="2" t="n">
        <x:v>0</x:v>
      </x:c>
      <x:c r="K71" s="11" t="str"/>
      <x:c r="L71" s="11" t="str">
        <x:f>IF(OR(H71&gt;0,J71&gt;0),"營運參考／主管現場協調",IF(I71&gt;0,"營運參考／主管現場協調","本段人力足夠"))</x:f>
        <x:v>本段人力足夠</x:v>
      </x:c>
    </x:row>
    <x:row r="72" ht="42" customHeight="1">
      <x:c r="A72" s="12" t="n">
        <x:v>46281</x:v>
      </x:c>
      <x:c r="B72" s="13" t="n">
        <x:v>0.7916666666666666</x:v>
      </x:c>
      <x:c r="C72" s="13" t="n">
        <x:v>0.8125</x:v>
      </x:c>
      <x:c r="D72" s="2" t="str">
        <x:v>平日晚峰</x:v>
      </x:c>
      <x:c r="E72" s="2" t="n">
        <x:v>5</x:v>
      </x:c>
      <x:c r="F72" s="2" t="n">
        <x:v>5</x:v>
      </x:c>
      <x:c r="G72" s="2" t="n">
        <x:f>IF(AND('班次明細'!$L$8&gt;0,$B72&gt;='班次明細'!$G$8,$C72&lt;='班次明細'!$H$8,OR('班次明細'!$K$8=0,$C72&lt;='班次明細'!$I$8,$B72&gt;='班次明細'!$J$8)),1,0)+IF(AND('班次明細'!$L$15&gt;0,$B72&gt;='班次明細'!$G$15,$C72&lt;='班次明細'!$H$15,OR('班次明細'!$K$15=0,$C72&lt;='班次明細'!$I$15,$B72&gt;='班次明細'!$J$15)),1,0)+IF(AND('班次明細'!$L$22&gt;0,$B72&gt;='班次明細'!$G$22,$C72&lt;='班次明細'!$H$22,OR('班次明細'!$K$22=0,$C72&lt;='班次明細'!$I$22,$B72&gt;='班次明細'!$J$22)),1,0)+IF(AND('班次明細'!$L$29&gt;0,$B72&gt;='班次明細'!$G$29,$C72&lt;='班次明細'!$H$29,OR('班次明細'!$K$29=0,$C72&lt;='班次明細'!$I$29,$B72&gt;='班次明細'!$J$29)),1,0)+IF(AND('班次明細'!$L$36&gt;0,$B72&gt;='班次明細'!$G$36,$C72&lt;='班次明細'!$H$36,OR('班次明細'!$K$36=0,$C72&lt;='班次明細'!$I$36,$B72&gt;='班次明細'!$J$36)),1,0)+IF(AND('班次明細'!$L$43&gt;0,$B72&gt;='班次明細'!$G$43,$C72&lt;='班次明細'!$H$43,OR('班次明細'!$K$43=0,$C72&lt;='班次明細'!$I$43,$B72&gt;='班次明細'!$J$43)),1,0)+IF(AND('班次明細'!$L$50&gt;0,$B72&gt;='班次明細'!$G$50,$C72&lt;='班次明細'!$H$50,OR('班次明細'!$K$50=0,$C72&lt;='班次明細'!$I$50,$B72&gt;='班次明細'!$J$50)),1,0)+IF(AND('班次明細'!$L$57&gt;0,$B72&gt;='班次明細'!$G$57,$C72&lt;='班次明細'!$H$57,OR('班次明細'!$K$57=0,$C72&lt;='班次明細'!$I$57,$B72&gt;='班次明細'!$J$57)),1,0)+IF(AND('班次明細'!$L$64&gt;0,$B72&gt;='班次明細'!$G$64,$C72&lt;='班次明細'!$H$64,OR('班次明細'!$K$64=0,$C72&lt;='班次明細'!$I$64,$B72&gt;='班次明細'!$J$64)),1,0)+IF(AND('班次明細'!$L$71&gt;0,$B72&gt;='班次明細'!$G$71,$C72&lt;='班次明細'!$H$71,OR('班次明細'!$K$71=0,$C72&lt;='班次明細'!$I$71,$B72&gt;='班次明細'!$J$71)),1,0)+IF(AND('班次明細'!$L$78&gt;0,$B72&gt;='班次明細'!$G$78,$C72&lt;='班次明細'!$H$78,OR('班次明細'!$K$78=0,$C72&lt;='班次明細'!$I$78,$B72&gt;='班次明細'!$J$78)),1,0)</x:f>
        <x:v>5</x:v>
      </x:c>
      <x:c r="H72" s="2" t="n">
        <x:f>MAX(0,E72-G72)</x:f>
        <x:v>0</x:v>
      </x:c>
      <x:c r="I72" s="2" t="n">
        <x:f>IF(F72="",0,MAX(0,G72-F72))</x:f>
        <x:v>0</x:v>
      </x:c>
      <x:c r="J72" s="2" t="n">
        <x:v>0</x:v>
      </x:c>
      <x:c r="K72" s="11" t="str"/>
      <x:c r="L72" s="11" t="str">
        <x:f>IF(OR(H72&gt;0,J72&gt;0),"營運參考／主管現場協調",IF(I72&gt;0,"營運參考／主管現場協調","本段人力足夠"))</x:f>
        <x:v>本段人力足夠</x:v>
      </x:c>
    </x:row>
    <x:row r="73" ht="42" customHeight="1">
      <x:c r="A73" s="12" t="n">
        <x:v>46281</x:v>
      </x:c>
      <x:c r="B73" s="13" t="n">
        <x:v>0.8125</x:v>
      </x:c>
      <x:c r="C73" s="13" t="n">
        <x:v>0.8333333333333334</x:v>
      </x:c>
      <x:c r="D73" s="2" t="str">
        <x:v>平日離峰</x:v>
      </x:c>
      <x:c r="E73" s="2" t="n">
        <x:v>2</x:v>
      </x:c>
      <x:c r="F73" s="2"/>
      <x:c r="G73" s="2" t="n">
        <x:f>IF(AND('班次明細'!$L$8&gt;0,$B73&gt;='班次明細'!$G$8,$C73&lt;='班次明細'!$H$8,OR('班次明細'!$K$8=0,$C73&lt;='班次明細'!$I$8,$B73&gt;='班次明細'!$J$8)),1,0)+IF(AND('班次明細'!$L$15&gt;0,$B73&gt;='班次明細'!$G$15,$C73&lt;='班次明細'!$H$15,OR('班次明細'!$K$15=0,$C73&lt;='班次明細'!$I$15,$B73&gt;='班次明細'!$J$15)),1,0)+IF(AND('班次明細'!$L$22&gt;0,$B73&gt;='班次明細'!$G$22,$C73&lt;='班次明細'!$H$22,OR('班次明細'!$K$22=0,$C73&lt;='班次明細'!$I$22,$B73&gt;='班次明細'!$J$22)),1,0)+IF(AND('班次明細'!$L$29&gt;0,$B73&gt;='班次明細'!$G$29,$C73&lt;='班次明細'!$H$29,OR('班次明細'!$K$29=0,$C73&lt;='班次明細'!$I$29,$B73&gt;='班次明細'!$J$29)),1,0)+IF(AND('班次明細'!$L$36&gt;0,$B73&gt;='班次明細'!$G$36,$C73&lt;='班次明細'!$H$36,OR('班次明細'!$K$36=0,$C73&lt;='班次明細'!$I$36,$B73&gt;='班次明細'!$J$36)),1,0)+IF(AND('班次明細'!$L$43&gt;0,$B73&gt;='班次明細'!$G$43,$C73&lt;='班次明細'!$H$43,OR('班次明細'!$K$43=0,$C73&lt;='班次明細'!$I$43,$B73&gt;='班次明細'!$J$43)),1,0)+IF(AND('班次明細'!$L$50&gt;0,$B73&gt;='班次明細'!$G$50,$C73&lt;='班次明細'!$H$50,OR('班次明細'!$K$50=0,$C73&lt;='班次明細'!$I$50,$B73&gt;='班次明細'!$J$50)),1,0)+IF(AND('班次明細'!$L$57&gt;0,$B73&gt;='班次明細'!$G$57,$C73&lt;='班次明細'!$H$57,OR('班次明細'!$K$57=0,$C73&lt;='班次明細'!$I$57,$B73&gt;='班次明細'!$J$57)),1,0)+IF(AND('班次明細'!$L$64&gt;0,$B73&gt;='班次明細'!$G$64,$C73&lt;='班次明細'!$H$64,OR('班次明細'!$K$64=0,$C73&lt;='班次明細'!$I$64,$B73&gt;='班次明細'!$J$64)),1,0)+IF(AND('班次明細'!$L$71&gt;0,$B73&gt;='班次明細'!$G$71,$C73&lt;='班次明細'!$H$71,OR('班次明細'!$K$71=0,$C73&lt;='班次明細'!$I$71,$B73&gt;='班次明細'!$J$71)),1,0)+IF(AND('班次明細'!$L$78&gt;0,$B73&gt;='班次明細'!$G$78,$C73&lt;='班次明細'!$H$78,OR('班次明細'!$K$78=0,$C73&lt;='班次明細'!$I$78,$B73&gt;='班次明細'!$J$78)),1,0)</x:f>
        <x:v>5</x:v>
      </x:c>
      <x:c r="H73" s="2" t="n">
        <x:f>MAX(0,E73-G73)</x:f>
        <x:v>0</x:v>
      </x:c>
      <x:c r="I73" s="2" t="n">
        <x:f>IF(F73="",0,MAX(0,G73-F73))</x:f>
        <x:v>0</x:v>
      </x:c>
      <x:c r="J73" s="2" t="n">
        <x:v>0</x:v>
      </x:c>
      <x:c r="K73" s="11" t="str"/>
      <x:c r="L73" s="11" t="str">
        <x:f>IF(OR(H73&gt;0,J73&gt;0),"營運參考／主管現場協調",IF(I73&gt;0,"營運參考／主管現場協調","本段人力足夠"))</x:f>
        <x:v>本段人力足夠</x:v>
      </x:c>
    </x:row>
    <x:row r="74" ht="42" customHeight="1">
      <x:c r="A74" s="12" t="n">
        <x:v>46281</x:v>
      </x:c>
      <x:c r="B74" s="13" t="n">
        <x:v>0.8333333333333334</x:v>
      </x:c>
      <x:c r="C74" s="13" t="n">
        <x:v>0.8541666666666666</x:v>
      </x:c>
      <x:c r="D74" s="2" t="str">
        <x:v>平日收店20</x:v>
      </x:c>
      <x:c r="E74" s="2" t="n">
        <x:v>5</x:v>
      </x:c>
      <x:c r="F74" s="2"/>
      <x:c r="G74" s="2" t="n">
        <x:f>IF(AND('班次明細'!$L$8&gt;0,$B74&gt;='班次明細'!$G$8,$C74&lt;='班次明細'!$H$8,OR('班次明細'!$K$8=0,$C74&lt;='班次明細'!$I$8,$B74&gt;='班次明細'!$J$8)),1,0)+IF(AND('班次明細'!$L$15&gt;0,$B74&gt;='班次明細'!$G$15,$C74&lt;='班次明細'!$H$15,OR('班次明細'!$K$15=0,$C74&lt;='班次明細'!$I$15,$B74&gt;='班次明細'!$J$15)),1,0)+IF(AND('班次明細'!$L$22&gt;0,$B74&gt;='班次明細'!$G$22,$C74&lt;='班次明細'!$H$22,OR('班次明細'!$K$22=0,$C74&lt;='班次明細'!$I$22,$B74&gt;='班次明細'!$J$22)),1,0)+IF(AND('班次明細'!$L$29&gt;0,$B74&gt;='班次明細'!$G$29,$C74&lt;='班次明細'!$H$29,OR('班次明細'!$K$29=0,$C74&lt;='班次明細'!$I$29,$B74&gt;='班次明細'!$J$29)),1,0)+IF(AND('班次明細'!$L$36&gt;0,$B74&gt;='班次明細'!$G$36,$C74&lt;='班次明細'!$H$36,OR('班次明細'!$K$36=0,$C74&lt;='班次明細'!$I$36,$B74&gt;='班次明細'!$J$36)),1,0)+IF(AND('班次明細'!$L$43&gt;0,$B74&gt;='班次明細'!$G$43,$C74&lt;='班次明細'!$H$43,OR('班次明細'!$K$43=0,$C74&lt;='班次明細'!$I$43,$B74&gt;='班次明細'!$J$43)),1,0)+IF(AND('班次明細'!$L$50&gt;0,$B74&gt;='班次明細'!$G$50,$C74&lt;='班次明細'!$H$50,OR('班次明細'!$K$50=0,$C74&lt;='班次明細'!$I$50,$B74&gt;='班次明細'!$J$50)),1,0)+IF(AND('班次明細'!$L$57&gt;0,$B74&gt;='班次明細'!$G$57,$C74&lt;='班次明細'!$H$57,OR('班次明細'!$K$57=0,$C74&lt;='班次明細'!$I$57,$B74&gt;='班次明細'!$J$57)),1,0)+IF(AND('班次明細'!$L$64&gt;0,$B74&gt;='班次明細'!$G$64,$C74&lt;='班次明細'!$H$64,OR('班次明細'!$K$64=0,$C74&lt;='班次明細'!$I$64,$B74&gt;='班次明細'!$J$64)),1,0)+IF(AND('班次明細'!$L$71&gt;0,$B74&gt;='班次明細'!$G$71,$C74&lt;='班次明細'!$H$71,OR('班次明細'!$K$71=0,$C74&lt;='班次明細'!$I$71,$B74&gt;='班次明細'!$J$71)),1,0)+IF(AND('班次明細'!$L$78&gt;0,$B74&gt;='班次明細'!$G$78,$C74&lt;='班次明細'!$H$78,OR('班次明細'!$K$78=0,$C74&lt;='班次明細'!$I$78,$B74&gt;='班次明細'!$J$78)),1,0)</x:f>
        <x:v>5</x:v>
      </x:c>
      <x:c r="H74" s="2" t="n">
        <x:f>MAX(0,E74-G74)</x:f>
        <x:v>0</x:v>
      </x:c>
      <x:c r="I74" s="2" t="n">
        <x:f>IF(F74="",0,MAX(0,G74-F74))</x:f>
        <x:v>0</x:v>
      </x:c>
      <x:c r="J74" s="2" t="n">
        <x:v>0</x:v>
      </x:c>
      <x:c r="K74" s="11" t="str"/>
      <x:c r="L74" s="11" t="str">
        <x:f>IF(OR(H74&gt;0,J74&gt;0),"營運參考／主管現場協調；收店交接參考",IF(I74&gt;0,"營運參考／主管現場協調","人數足；收店交接參考"))</x:f>
        <x:v>人數足；收店交接參考</x:v>
      </x:c>
    </x:row>
    <x:row r="75" ht="42" customHeight="1">
      <x:c r="A75" s="12" t="n">
        <x:v>46281</x:v>
      </x:c>
      <x:c r="B75" s="13" t="n">
        <x:v>0.8541666666666666</x:v>
      </x:c>
      <x:c r="C75" s="13" t="n">
        <x:v>0.875</x:v>
      </x:c>
      <x:c r="D75" s="2" t="str">
        <x:v>平日收店20</x:v>
      </x:c>
      <x:c r="E75" s="2" t="n">
        <x:v>5</x:v>
      </x:c>
      <x:c r="F75" s="2"/>
      <x:c r="G75" s="2" t="n">
        <x:f>IF(AND('班次明細'!$L$8&gt;0,$B75&gt;='班次明細'!$G$8,$C75&lt;='班次明細'!$H$8,OR('班次明細'!$K$8=0,$C75&lt;='班次明細'!$I$8,$B75&gt;='班次明細'!$J$8)),1,0)+IF(AND('班次明細'!$L$15&gt;0,$B75&gt;='班次明細'!$G$15,$C75&lt;='班次明細'!$H$15,OR('班次明細'!$K$15=0,$C75&lt;='班次明細'!$I$15,$B75&gt;='班次明細'!$J$15)),1,0)+IF(AND('班次明細'!$L$22&gt;0,$B75&gt;='班次明細'!$G$22,$C75&lt;='班次明細'!$H$22,OR('班次明細'!$K$22=0,$C75&lt;='班次明細'!$I$22,$B75&gt;='班次明細'!$J$22)),1,0)+IF(AND('班次明細'!$L$29&gt;0,$B75&gt;='班次明細'!$G$29,$C75&lt;='班次明細'!$H$29,OR('班次明細'!$K$29=0,$C75&lt;='班次明細'!$I$29,$B75&gt;='班次明細'!$J$29)),1,0)+IF(AND('班次明細'!$L$36&gt;0,$B75&gt;='班次明細'!$G$36,$C75&lt;='班次明細'!$H$36,OR('班次明細'!$K$36=0,$C75&lt;='班次明細'!$I$36,$B75&gt;='班次明細'!$J$36)),1,0)+IF(AND('班次明細'!$L$43&gt;0,$B75&gt;='班次明細'!$G$43,$C75&lt;='班次明細'!$H$43,OR('班次明細'!$K$43=0,$C75&lt;='班次明細'!$I$43,$B75&gt;='班次明細'!$J$43)),1,0)+IF(AND('班次明細'!$L$50&gt;0,$B75&gt;='班次明細'!$G$50,$C75&lt;='班次明細'!$H$50,OR('班次明細'!$K$50=0,$C75&lt;='班次明細'!$I$50,$B75&gt;='班次明細'!$J$50)),1,0)+IF(AND('班次明細'!$L$57&gt;0,$B75&gt;='班次明細'!$G$57,$C75&lt;='班次明細'!$H$57,OR('班次明細'!$K$57=0,$C75&lt;='班次明細'!$I$57,$B75&gt;='班次明細'!$J$57)),1,0)+IF(AND('班次明細'!$L$64&gt;0,$B75&gt;='班次明細'!$G$64,$C75&lt;='班次明細'!$H$64,OR('班次明細'!$K$64=0,$C75&lt;='班次明細'!$I$64,$B75&gt;='班次明細'!$J$64)),1,0)+IF(AND('班次明細'!$L$71&gt;0,$B75&gt;='班次明細'!$G$71,$C75&lt;='班次明細'!$H$71,OR('班次明細'!$K$71=0,$C75&lt;='班次明細'!$I$71,$B75&gt;='班次明細'!$J$71)),1,0)+IF(AND('班次明細'!$L$78&gt;0,$B75&gt;='班次明細'!$G$78,$C75&lt;='班次明細'!$H$78,OR('班次明細'!$K$78=0,$C75&lt;='班次明細'!$I$78,$B75&gt;='班次明細'!$J$78)),1,0)</x:f>
        <x:v>5</x:v>
      </x:c>
      <x:c r="H75" s="2" t="n">
        <x:f>MAX(0,E75-G75)</x:f>
        <x:v>0</x:v>
      </x:c>
      <x:c r="I75" s="2" t="n">
        <x:f>IF(F75="",0,MAX(0,G75-F75))</x:f>
        <x:v>0</x:v>
      </x:c>
      <x:c r="J75" s="2" t="n">
        <x:v>0</x:v>
      </x:c>
      <x:c r="K75" s="11" t="str"/>
      <x:c r="L75" s="11" t="str">
        <x:f>IF(OR(H75&gt;0,J75&gt;0),"營運參考／主管現場協調；收店交接參考",IF(I75&gt;0,"營運參考／主管現場協調","人數足；收店交接參考"))</x:f>
        <x:v>人數足；收店交接參考</x:v>
      </x:c>
    </x:row>
    <x:row r="76" ht="42" customHeight="1">
      <x:c r="A76" s="12" t="n">
        <x:v>46281</x:v>
      </x:c>
      <x:c r="B76" s="13" t="n">
        <x:v>0.875</x:v>
      </x:c>
      <x:c r="C76" s="13" t="n">
        <x:v>0.8958333333333334</x:v>
      </x:c>
      <x:c r="D76" s="2" t="str">
        <x:v>平日收店21</x:v>
      </x:c>
      <x:c r="E76" s="2" t="n">
        <x:v>4</x:v>
      </x:c>
      <x:c r="F76" s="2"/>
      <x:c r="G76" s="2" t="n">
        <x:f>IF(AND('班次明細'!$L$8&gt;0,$B76&gt;='班次明細'!$G$8,$C76&lt;='班次明細'!$H$8,OR('班次明細'!$K$8=0,$C76&lt;='班次明細'!$I$8,$B76&gt;='班次明細'!$J$8)),1,0)+IF(AND('班次明細'!$L$15&gt;0,$B76&gt;='班次明細'!$G$15,$C76&lt;='班次明細'!$H$15,OR('班次明細'!$K$15=0,$C76&lt;='班次明細'!$I$15,$B76&gt;='班次明細'!$J$15)),1,0)+IF(AND('班次明細'!$L$22&gt;0,$B76&gt;='班次明細'!$G$22,$C76&lt;='班次明細'!$H$22,OR('班次明細'!$K$22=0,$C76&lt;='班次明細'!$I$22,$B76&gt;='班次明細'!$J$22)),1,0)+IF(AND('班次明細'!$L$29&gt;0,$B76&gt;='班次明細'!$G$29,$C76&lt;='班次明細'!$H$29,OR('班次明細'!$K$29=0,$C76&lt;='班次明細'!$I$29,$B76&gt;='班次明細'!$J$29)),1,0)+IF(AND('班次明細'!$L$36&gt;0,$B76&gt;='班次明細'!$G$36,$C76&lt;='班次明細'!$H$36,OR('班次明細'!$K$36=0,$C76&lt;='班次明細'!$I$36,$B76&gt;='班次明細'!$J$36)),1,0)+IF(AND('班次明細'!$L$43&gt;0,$B76&gt;='班次明細'!$G$43,$C76&lt;='班次明細'!$H$43,OR('班次明細'!$K$43=0,$C76&lt;='班次明細'!$I$43,$B76&gt;='班次明細'!$J$43)),1,0)+IF(AND('班次明細'!$L$50&gt;0,$B76&gt;='班次明細'!$G$50,$C76&lt;='班次明細'!$H$50,OR('班次明細'!$K$50=0,$C76&lt;='班次明細'!$I$50,$B76&gt;='班次明細'!$J$50)),1,0)+IF(AND('班次明細'!$L$57&gt;0,$B76&gt;='班次明細'!$G$57,$C76&lt;='班次明細'!$H$57,OR('班次明細'!$K$57=0,$C76&lt;='班次明細'!$I$57,$B76&gt;='班次明細'!$J$57)),1,0)+IF(AND('班次明細'!$L$64&gt;0,$B76&gt;='班次明細'!$G$64,$C76&lt;='班次明細'!$H$64,OR('班次明細'!$K$64=0,$C76&lt;='班次明細'!$I$64,$B76&gt;='班次明細'!$J$64)),1,0)+IF(AND('班次明細'!$L$71&gt;0,$B76&gt;='班次明細'!$G$71,$C76&lt;='班次明細'!$H$71,OR('班次明細'!$K$71=0,$C76&lt;='班次明細'!$I$71,$B76&gt;='班次明細'!$J$71)),1,0)+IF(AND('班次明細'!$L$78&gt;0,$B76&gt;='班次明細'!$G$78,$C76&lt;='班次明細'!$H$78,OR('班次明細'!$K$78=0,$C76&lt;='班次明細'!$I$78,$B76&gt;='班次明細'!$J$78)),1,0)</x:f>
        <x:v>4</x:v>
      </x:c>
      <x:c r="H76" s="2" t="n">
        <x:f>MAX(0,E76-G76)</x:f>
        <x:v>0</x:v>
      </x:c>
      <x:c r="I76" s="2" t="n">
        <x:f>IF(F76="",0,MAX(0,G76-F76))</x:f>
        <x:v>0</x:v>
      </x:c>
      <x:c r="J76" s="2" t="n">
        <x:v>0</x:v>
      </x:c>
      <x:c r="K76" s="11" t="str"/>
      <x:c r="L76" s="11" t="str">
        <x:f>IF(OR(H76&gt;0,J76&gt;0),"營運參考／主管現場協調；收店交接參考",IF(I76&gt;0,"營運參考／主管現場協調","人數足；收店交接參考"))</x:f>
        <x:v>人數足；收店交接參考</x:v>
      </x:c>
    </x:row>
    <x:row r="77" ht="42" customHeight="1">
      <x:c r="A77" s="12" t="n">
        <x:v>46281</x:v>
      </x:c>
      <x:c r="B77" s="13" t="n">
        <x:v>0.8958333333333334</x:v>
      </x:c>
      <x:c r="C77" s="13" t="n">
        <x:v>0.9166666666666666</x:v>
      </x:c>
      <x:c r="D77" s="2" t="str">
        <x:v>已結束</x:v>
      </x:c>
      <x:c r="E77" s="2" t="n">
        <x:v>0</x:v>
      </x:c>
      <x:c r="F77" s="2"/>
      <x:c r="G77" s="2" t="n">
        <x:f>IF(AND('班次明細'!$L$8&gt;0,$B77&gt;='班次明細'!$G$8,$C77&lt;='班次明細'!$H$8,OR('班次明細'!$K$8=0,$C77&lt;='班次明細'!$I$8,$B77&gt;='班次明細'!$J$8)),1,0)+IF(AND('班次明細'!$L$15&gt;0,$B77&gt;='班次明細'!$G$15,$C77&lt;='班次明細'!$H$15,OR('班次明細'!$K$15=0,$C77&lt;='班次明細'!$I$15,$B77&gt;='班次明細'!$J$15)),1,0)+IF(AND('班次明細'!$L$22&gt;0,$B77&gt;='班次明細'!$G$22,$C77&lt;='班次明細'!$H$22,OR('班次明細'!$K$22=0,$C77&lt;='班次明細'!$I$22,$B77&gt;='班次明細'!$J$22)),1,0)+IF(AND('班次明細'!$L$29&gt;0,$B77&gt;='班次明細'!$G$29,$C77&lt;='班次明細'!$H$29,OR('班次明細'!$K$29=0,$C77&lt;='班次明細'!$I$29,$B77&gt;='班次明細'!$J$29)),1,0)+IF(AND('班次明細'!$L$36&gt;0,$B77&gt;='班次明細'!$G$36,$C77&lt;='班次明細'!$H$36,OR('班次明細'!$K$36=0,$C77&lt;='班次明細'!$I$36,$B77&gt;='班次明細'!$J$36)),1,0)+IF(AND('班次明細'!$L$43&gt;0,$B77&gt;='班次明細'!$G$43,$C77&lt;='班次明細'!$H$43,OR('班次明細'!$K$43=0,$C77&lt;='班次明細'!$I$43,$B77&gt;='班次明細'!$J$43)),1,0)+IF(AND('班次明細'!$L$50&gt;0,$B77&gt;='班次明細'!$G$50,$C77&lt;='班次明細'!$H$50,OR('班次明細'!$K$50=0,$C77&lt;='班次明細'!$I$50,$B77&gt;='班次明細'!$J$50)),1,0)+IF(AND('班次明細'!$L$57&gt;0,$B77&gt;='班次明細'!$G$57,$C77&lt;='班次明細'!$H$57,OR('班次明細'!$K$57=0,$C77&lt;='班次明細'!$I$57,$B77&gt;='班次明細'!$J$57)),1,0)+IF(AND('班次明細'!$L$64&gt;0,$B77&gt;='班次明細'!$G$64,$C77&lt;='班次明細'!$H$64,OR('班次明細'!$K$64=0,$C77&lt;='班次明細'!$I$64,$B77&gt;='班次明細'!$J$64)),1,0)+IF(AND('班次明細'!$L$71&gt;0,$B77&gt;='班次明細'!$G$71,$C77&lt;='班次明細'!$H$71,OR('班次明細'!$K$71=0,$C77&lt;='班次明細'!$I$71,$B77&gt;='班次明細'!$J$71)),1,0)+IF(AND('班次明細'!$L$78&gt;0,$B77&gt;='班次明細'!$G$78,$C77&lt;='班次明細'!$H$78,OR('班次明細'!$K$78=0,$C77&lt;='班次明細'!$I$78,$B77&gt;='班次明細'!$J$78)),1,0)</x:f>
        <x:v>0</x:v>
      </x:c>
      <x:c r="H77" s="2" t="n">
        <x:f>MAX(0,E77-G77)</x:f>
        <x:v>0</x:v>
      </x:c>
      <x:c r="I77" s="2" t="n">
        <x:f>IF(F77="",0,MAX(0,G77-F77))</x:f>
        <x:v>0</x:v>
      </x:c>
      <x:c r="J77" s="2" t="n">
        <x:v>0</x:v>
      </x:c>
      <x:c r="K77" s="11" t="str"/>
      <x:c r="L77" s="11" t="str">
        <x:f>IF(OR(H77&gt;0,J77&gt;0),"營運參考／主管現場協調",IF(I77&gt;0,"營運參考／主管現場協調","無最低人力需求"))</x:f>
        <x:v>無最低人力需求</x:v>
      </x:c>
    </x:row>
    <x:row r="78" ht="42" customHeight="1">
      <x:c r="A78" s="12" t="n">
        <x:v>46282</x:v>
      </x:c>
      <x:c r="B78" s="13" t="n">
        <x:v>0.4166666666666667</x:v>
      </x:c>
      <x:c r="C78" s="13" t="n">
        <x:v>0.4375</x:v>
      </x:c>
      <x:c r="D78" s="2" t="str">
        <x:v>開店</x:v>
      </x:c>
      <x:c r="E78" s="2" t="n">
        <x:v>1</x:v>
      </x:c>
      <x:c r="F78" s="2" t="n">
        <x:v>1</x:v>
      </x:c>
      <x:c r="G78" s="2" t="n">
        <x:f>IF(AND('班次明細'!$L$9&gt;0,$B78&gt;='班次明細'!$G$9,$C78&lt;='班次明細'!$H$9,OR('班次明細'!$K$9=0,$C78&lt;='班次明細'!$I$9,$B78&gt;='班次明細'!$J$9)),1,0)+IF(AND('班次明細'!$L$16&gt;0,$B78&gt;='班次明細'!$G$16,$C78&lt;='班次明細'!$H$16,OR('班次明細'!$K$16=0,$C78&lt;='班次明細'!$I$16,$B78&gt;='班次明細'!$J$16)),1,0)+IF(AND('班次明細'!$L$23&gt;0,$B78&gt;='班次明細'!$G$23,$C78&lt;='班次明細'!$H$23,OR('班次明細'!$K$23=0,$C78&lt;='班次明細'!$I$23,$B78&gt;='班次明細'!$J$23)),1,0)+IF(AND('班次明細'!$L$30&gt;0,$B78&gt;='班次明細'!$G$30,$C78&lt;='班次明細'!$H$30,OR('班次明細'!$K$30=0,$C78&lt;='班次明細'!$I$30,$B78&gt;='班次明細'!$J$30)),1,0)+IF(AND('班次明細'!$L$37&gt;0,$B78&gt;='班次明細'!$G$37,$C78&lt;='班次明細'!$H$37,OR('班次明細'!$K$37=0,$C78&lt;='班次明細'!$I$37,$B78&gt;='班次明細'!$J$37)),1,0)+IF(AND('班次明細'!$L$44&gt;0,$B78&gt;='班次明細'!$G$44,$C78&lt;='班次明細'!$H$44,OR('班次明細'!$K$44=0,$C78&lt;='班次明細'!$I$44,$B78&gt;='班次明細'!$J$44)),1,0)+IF(AND('班次明細'!$L$51&gt;0,$B78&gt;='班次明細'!$G$51,$C78&lt;='班次明細'!$H$51,OR('班次明細'!$K$51=0,$C78&lt;='班次明細'!$I$51,$B78&gt;='班次明細'!$J$51)),1,0)+IF(AND('班次明細'!$L$58&gt;0,$B78&gt;='班次明細'!$G$58,$C78&lt;='班次明細'!$H$58,OR('班次明細'!$K$58=0,$C78&lt;='班次明細'!$I$58,$B78&gt;='班次明細'!$J$58)),1,0)+IF(AND('班次明細'!$L$65&gt;0,$B78&gt;='班次明細'!$G$65,$C78&lt;='班次明細'!$H$65,OR('班次明細'!$K$65=0,$C78&lt;='班次明細'!$I$65,$B78&gt;='班次明細'!$J$65)),1,0)+IF(AND('班次明細'!$L$72&gt;0,$B78&gt;='班次明細'!$G$72,$C78&lt;='班次明細'!$H$72,OR('班次明細'!$K$72=0,$C78&lt;='班次明細'!$I$72,$B78&gt;='班次明細'!$J$72)),1,0)+IF(AND('班次明細'!$L$79&gt;0,$B78&gt;='班次明細'!$G$79,$C78&lt;='班次明細'!$H$79,OR('班次明細'!$K$79=0,$C78&lt;='班次明細'!$I$79,$B78&gt;='班次明細'!$J$79)),1,0)</x:f>
        <x:v>1</x:v>
      </x:c>
      <x:c r="H78" s="2" t="n">
        <x:f>MAX(0,E78-G78)</x:f>
        <x:v>0</x:v>
      </x:c>
      <x:c r="I78" s="2" t="n">
        <x:f>IF(F78="",0,MAX(0,G78-F78))</x:f>
        <x:v>0</x:v>
      </x:c>
      <x:c r="J78" s="2" t="n">
        <x:v>0</x:v>
      </x:c>
      <x:c r="K78" s="11" t="str"/>
      <x:c r="L78" s="11" t="str">
        <x:f>IF(OR(H78&gt;0,J78&gt;0),"營運參考／主管現場協調",IF(I78&gt;0,"營運參考／主管現場協調","本段人力足夠"))</x:f>
        <x:v>本段人力足夠</x:v>
      </x:c>
    </x:row>
    <x:row r="79" ht="42" customHeight="1">
      <x:c r="A79" s="12" t="n">
        <x:v>46282</x:v>
      </x:c>
      <x:c r="B79" s="13" t="n">
        <x:v>0.4375</x:v>
      </x:c>
      <x:c r="C79" s="13" t="n">
        <x:v>0.4583333333333333</x:v>
      </x:c>
      <x:c r="D79" s="2" t="str">
        <x:v>開店</x:v>
      </x:c>
      <x:c r="E79" s="2" t="n">
        <x:v>1</x:v>
      </x:c>
      <x:c r="F79" s="2" t="n">
        <x:v>1</x:v>
      </x:c>
      <x:c r="G79" s="2" t="n">
        <x:f>IF(AND('班次明細'!$L$9&gt;0,$B79&gt;='班次明細'!$G$9,$C79&lt;='班次明細'!$H$9,OR('班次明細'!$K$9=0,$C79&lt;='班次明細'!$I$9,$B79&gt;='班次明細'!$J$9)),1,0)+IF(AND('班次明細'!$L$16&gt;0,$B79&gt;='班次明細'!$G$16,$C79&lt;='班次明細'!$H$16,OR('班次明細'!$K$16=0,$C79&lt;='班次明細'!$I$16,$B79&gt;='班次明細'!$J$16)),1,0)+IF(AND('班次明細'!$L$23&gt;0,$B79&gt;='班次明細'!$G$23,$C79&lt;='班次明細'!$H$23,OR('班次明細'!$K$23=0,$C79&lt;='班次明細'!$I$23,$B79&gt;='班次明細'!$J$23)),1,0)+IF(AND('班次明細'!$L$30&gt;0,$B79&gt;='班次明細'!$G$30,$C79&lt;='班次明細'!$H$30,OR('班次明細'!$K$30=0,$C79&lt;='班次明細'!$I$30,$B79&gt;='班次明細'!$J$30)),1,0)+IF(AND('班次明細'!$L$37&gt;0,$B79&gt;='班次明細'!$G$37,$C79&lt;='班次明細'!$H$37,OR('班次明細'!$K$37=0,$C79&lt;='班次明細'!$I$37,$B79&gt;='班次明細'!$J$37)),1,0)+IF(AND('班次明細'!$L$44&gt;0,$B79&gt;='班次明細'!$G$44,$C79&lt;='班次明細'!$H$44,OR('班次明細'!$K$44=0,$C79&lt;='班次明細'!$I$44,$B79&gt;='班次明細'!$J$44)),1,0)+IF(AND('班次明細'!$L$51&gt;0,$B79&gt;='班次明細'!$G$51,$C79&lt;='班次明細'!$H$51,OR('班次明細'!$K$51=0,$C79&lt;='班次明細'!$I$51,$B79&gt;='班次明細'!$J$51)),1,0)+IF(AND('班次明細'!$L$58&gt;0,$B79&gt;='班次明細'!$G$58,$C79&lt;='班次明細'!$H$58,OR('班次明細'!$K$58=0,$C79&lt;='班次明細'!$I$58,$B79&gt;='班次明細'!$J$58)),1,0)+IF(AND('班次明細'!$L$65&gt;0,$B79&gt;='班次明細'!$G$65,$C79&lt;='班次明細'!$H$65,OR('班次明細'!$K$65=0,$C79&lt;='班次明細'!$I$65,$B79&gt;='班次明細'!$J$65)),1,0)+IF(AND('班次明細'!$L$72&gt;0,$B79&gt;='班次明細'!$G$72,$C79&lt;='班次明細'!$H$72,OR('班次明細'!$K$72=0,$C79&lt;='班次明細'!$I$72,$B79&gt;='班次明細'!$J$72)),1,0)+IF(AND('班次明細'!$L$79&gt;0,$B79&gt;='班次明細'!$G$79,$C79&lt;='班次明細'!$H$79,OR('班次明細'!$K$79=0,$C79&lt;='班次明細'!$I$79,$B79&gt;='班次明細'!$J$79)),1,0)</x:f>
        <x:v>1</x:v>
      </x:c>
      <x:c r="H79" s="2" t="n">
        <x:f>MAX(0,E79-G79)</x:f>
        <x:v>0</x:v>
      </x:c>
      <x:c r="I79" s="2" t="n">
        <x:f>IF(F79="",0,MAX(0,G79-F79))</x:f>
        <x:v>0</x:v>
      </x:c>
      <x:c r="J79" s="2" t="n">
        <x:v>0</x:v>
      </x:c>
      <x:c r="K79" s="11" t="str"/>
      <x:c r="L79" s="11" t="str">
        <x:f>IF(OR(H79&gt;0,J79&gt;0),"營運參考／主管現場協調",IF(I79&gt;0,"營運參考／主管現場協調","本段人力足夠"))</x:f>
        <x:v>本段人力足夠</x:v>
      </x:c>
    </x:row>
    <x:row r="80" ht="42" customHeight="1">
      <x:c r="A80" s="12" t="n">
        <x:v>46282</x:v>
      </x:c>
      <x:c r="B80" s="13" t="n">
        <x:v>0.4583333333333333</x:v>
      </x:c>
      <x:c r="C80" s="13" t="n">
        <x:v>0.4791666666666667</x:v>
      </x:c>
      <x:c r="D80" s="2" t="str">
        <x:v>平日離峰</x:v>
      </x:c>
      <x:c r="E80" s="2" t="n">
        <x:v>2</x:v>
      </x:c>
      <x:c r="F80" s="2"/>
      <x:c r="G80" s="2" t="n">
        <x:f>IF(AND('班次明細'!$L$9&gt;0,$B80&gt;='班次明細'!$G$9,$C80&lt;='班次明細'!$H$9,OR('班次明細'!$K$9=0,$C80&lt;='班次明細'!$I$9,$B80&gt;='班次明細'!$J$9)),1,0)+IF(AND('班次明細'!$L$16&gt;0,$B80&gt;='班次明細'!$G$16,$C80&lt;='班次明細'!$H$16,OR('班次明細'!$K$16=0,$C80&lt;='班次明細'!$I$16,$B80&gt;='班次明細'!$J$16)),1,0)+IF(AND('班次明細'!$L$23&gt;0,$B80&gt;='班次明細'!$G$23,$C80&lt;='班次明細'!$H$23,OR('班次明細'!$K$23=0,$C80&lt;='班次明細'!$I$23,$B80&gt;='班次明細'!$J$23)),1,0)+IF(AND('班次明細'!$L$30&gt;0,$B80&gt;='班次明細'!$G$30,$C80&lt;='班次明細'!$H$30,OR('班次明細'!$K$30=0,$C80&lt;='班次明細'!$I$30,$B80&gt;='班次明細'!$J$30)),1,0)+IF(AND('班次明細'!$L$37&gt;0,$B80&gt;='班次明細'!$G$37,$C80&lt;='班次明細'!$H$37,OR('班次明細'!$K$37=0,$C80&lt;='班次明細'!$I$37,$B80&gt;='班次明細'!$J$37)),1,0)+IF(AND('班次明細'!$L$44&gt;0,$B80&gt;='班次明細'!$G$44,$C80&lt;='班次明細'!$H$44,OR('班次明細'!$K$44=0,$C80&lt;='班次明細'!$I$44,$B80&gt;='班次明細'!$J$44)),1,0)+IF(AND('班次明細'!$L$51&gt;0,$B80&gt;='班次明細'!$G$51,$C80&lt;='班次明細'!$H$51,OR('班次明細'!$K$51=0,$C80&lt;='班次明細'!$I$51,$B80&gt;='班次明細'!$J$51)),1,0)+IF(AND('班次明細'!$L$58&gt;0,$B80&gt;='班次明細'!$G$58,$C80&lt;='班次明細'!$H$58,OR('班次明細'!$K$58=0,$C80&lt;='班次明細'!$I$58,$B80&gt;='班次明細'!$J$58)),1,0)+IF(AND('班次明細'!$L$65&gt;0,$B80&gt;='班次明細'!$G$65,$C80&lt;='班次明細'!$H$65,OR('班次明細'!$K$65=0,$C80&lt;='班次明細'!$I$65,$B80&gt;='班次明細'!$J$65)),1,0)+IF(AND('班次明細'!$L$72&gt;0,$B80&gt;='班次明細'!$G$72,$C80&lt;='班次明細'!$H$72,OR('班次明細'!$K$72=0,$C80&lt;='班次明細'!$I$72,$B80&gt;='班次明細'!$J$72)),1,0)+IF(AND('班次明細'!$L$79&gt;0,$B80&gt;='班次明細'!$G$79,$C80&lt;='班次明細'!$H$79,OR('班次明細'!$K$79=0,$C80&lt;='班次明細'!$I$79,$B80&gt;='班次明細'!$J$79)),1,0)</x:f>
        <x:v>2</x:v>
      </x:c>
      <x:c r="H80" s="2" t="n">
        <x:f>MAX(0,E80-G80)</x:f>
        <x:v>0</x:v>
      </x:c>
      <x:c r="I80" s="2" t="n">
        <x:f>IF(F80="",0,MAX(0,G80-F80))</x:f>
        <x:v>0</x:v>
      </x:c>
      <x:c r="J80" s="2" t="n">
        <x:v>0</x:v>
      </x:c>
      <x:c r="K80" s="11" t="str"/>
      <x:c r="L80" s="11" t="str">
        <x:f>IF(OR(H80&gt;0,J80&gt;0),"營運參考／主管現場協調",IF(I80&gt;0,"營運參考／主管現場協調","本段人力足夠"))</x:f>
        <x:v>本段人力足夠</x:v>
      </x:c>
    </x:row>
    <x:row r="81" ht="42" customHeight="1">
      <x:c r="A81" s="12" t="n">
        <x:v>46282</x:v>
      </x:c>
      <x:c r="B81" s="13" t="n">
        <x:v>0.4791666666666667</x:v>
      </x:c>
      <x:c r="C81" s="13" t="n">
        <x:v>0.5</x:v>
      </x:c>
      <x:c r="D81" s="2" t="str">
        <x:v>平日離峰</x:v>
      </x:c>
      <x:c r="E81" s="2" t="n">
        <x:v>2</x:v>
      </x:c>
      <x:c r="F81" s="2"/>
      <x:c r="G81" s="2" t="n">
        <x:f>IF(AND('班次明細'!$L$9&gt;0,$B81&gt;='班次明細'!$G$9,$C81&lt;='班次明細'!$H$9,OR('班次明細'!$K$9=0,$C81&lt;='班次明細'!$I$9,$B81&gt;='班次明細'!$J$9)),1,0)+IF(AND('班次明細'!$L$16&gt;0,$B81&gt;='班次明細'!$G$16,$C81&lt;='班次明細'!$H$16,OR('班次明細'!$K$16=0,$C81&lt;='班次明細'!$I$16,$B81&gt;='班次明細'!$J$16)),1,0)+IF(AND('班次明細'!$L$23&gt;0,$B81&gt;='班次明細'!$G$23,$C81&lt;='班次明細'!$H$23,OR('班次明細'!$K$23=0,$C81&lt;='班次明細'!$I$23,$B81&gt;='班次明細'!$J$23)),1,0)+IF(AND('班次明細'!$L$30&gt;0,$B81&gt;='班次明細'!$G$30,$C81&lt;='班次明細'!$H$30,OR('班次明細'!$K$30=0,$C81&lt;='班次明細'!$I$30,$B81&gt;='班次明細'!$J$30)),1,0)+IF(AND('班次明細'!$L$37&gt;0,$B81&gt;='班次明細'!$G$37,$C81&lt;='班次明細'!$H$37,OR('班次明細'!$K$37=0,$C81&lt;='班次明細'!$I$37,$B81&gt;='班次明細'!$J$37)),1,0)+IF(AND('班次明細'!$L$44&gt;0,$B81&gt;='班次明細'!$G$44,$C81&lt;='班次明細'!$H$44,OR('班次明細'!$K$44=0,$C81&lt;='班次明細'!$I$44,$B81&gt;='班次明細'!$J$44)),1,0)+IF(AND('班次明細'!$L$51&gt;0,$B81&gt;='班次明細'!$G$51,$C81&lt;='班次明細'!$H$51,OR('班次明細'!$K$51=0,$C81&lt;='班次明細'!$I$51,$B81&gt;='班次明細'!$J$51)),1,0)+IF(AND('班次明細'!$L$58&gt;0,$B81&gt;='班次明細'!$G$58,$C81&lt;='班次明細'!$H$58,OR('班次明細'!$K$58=0,$C81&lt;='班次明細'!$I$58,$B81&gt;='班次明細'!$J$58)),1,0)+IF(AND('班次明細'!$L$65&gt;0,$B81&gt;='班次明細'!$G$65,$C81&lt;='班次明細'!$H$65,OR('班次明細'!$K$65=0,$C81&lt;='班次明細'!$I$65,$B81&gt;='班次明細'!$J$65)),1,0)+IF(AND('班次明細'!$L$72&gt;0,$B81&gt;='班次明細'!$G$72,$C81&lt;='班次明細'!$H$72,OR('班次明細'!$K$72=0,$C81&lt;='班次明細'!$I$72,$B81&gt;='班次明細'!$J$72)),1,0)+IF(AND('班次明細'!$L$79&gt;0,$B81&gt;='班次明細'!$G$79,$C81&lt;='班次明細'!$H$79,OR('班次明細'!$K$79=0,$C81&lt;='班次明細'!$I$79,$B81&gt;='班次明細'!$J$79)),1,0)</x:f>
        <x:v>4</x:v>
      </x:c>
      <x:c r="H81" s="2" t="n">
        <x:f>MAX(0,E81-G81)</x:f>
        <x:v>0</x:v>
      </x:c>
      <x:c r="I81" s="2" t="n">
        <x:f>IF(F81="",0,MAX(0,G81-F81))</x:f>
        <x:v>0</x:v>
      </x:c>
      <x:c r="J81" s="2" t="n">
        <x:v>0</x:v>
      </x:c>
      <x:c r="K81" s="11" t="str"/>
      <x:c r="L81" s="11" t="str">
        <x:f>IF(OR(H81&gt;0,J81&gt;0),"營運參考／主管現場協調",IF(I81&gt;0,"營運參考／主管現場協調","本段人力足夠"))</x:f>
        <x:v>本段人力足夠</x:v>
      </x:c>
    </x:row>
    <x:row r="82" ht="42" customHeight="1">
      <x:c r="A82" s="12" t="n">
        <x:v>46282</x:v>
      </x:c>
      <x:c r="B82" s="13" t="n">
        <x:v>0.5</x:v>
      </x:c>
      <x:c r="C82" s="13" t="n">
        <x:v>0.5208333333333334</x:v>
      </x:c>
      <x:c r="D82" s="2" t="str">
        <x:v>平日午峰</x:v>
      </x:c>
      <x:c r="E82" s="2" t="n">
        <x:v>4</x:v>
      </x:c>
      <x:c r="F82" s="2" t="n">
        <x:v>4</x:v>
      </x:c>
      <x:c r="G82" s="2" t="n">
        <x:f>IF(AND('班次明細'!$L$9&gt;0,$B82&gt;='班次明細'!$G$9,$C82&lt;='班次明細'!$H$9,OR('班次明細'!$K$9=0,$C82&lt;='班次明細'!$I$9,$B82&gt;='班次明細'!$J$9)),1,0)+IF(AND('班次明細'!$L$16&gt;0,$B82&gt;='班次明細'!$G$16,$C82&lt;='班次明細'!$H$16,OR('班次明細'!$K$16=0,$C82&lt;='班次明細'!$I$16,$B82&gt;='班次明細'!$J$16)),1,0)+IF(AND('班次明細'!$L$23&gt;0,$B82&gt;='班次明細'!$G$23,$C82&lt;='班次明細'!$H$23,OR('班次明細'!$K$23=0,$C82&lt;='班次明細'!$I$23,$B82&gt;='班次明細'!$J$23)),1,0)+IF(AND('班次明細'!$L$30&gt;0,$B82&gt;='班次明細'!$G$30,$C82&lt;='班次明細'!$H$30,OR('班次明細'!$K$30=0,$C82&lt;='班次明細'!$I$30,$B82&gt;='班次明細'!$J$30)),1,0)+IF(AND('班次明細'!$L$37&gt;0,$B82&gt;='班次明細'!$G$37,$C82&lt;='班次明細'!$H$37,OR('班次明細'!$K$37=0,$C82&lt;='班次明細'!$I$37,$B82&gt;='班次明細'!$J$37)),1,0)+IF(AND('班次明細'!$L$44&gt;0,$B82&gt;='班次明細'!$G$44,$C82&lt;='班次明細'!$H$44,OR('班次明細'!$K$44=0,$C82&lt;='班次明細'!$I$44,$B82&gt;='班次明細'!$J$44)),1,0)+IF(AND('班次明細'!$L$51&gt;0,$B82&gt;='班次明細'!$G$51,$C82&lt;='班次明細'!$H$51,OR('班次明細'!$K$51=0,$C82&lt;='班次明細'!$I$51,$B82&gt;='班次明細'!$J$51)),1,0)+IF(AND('班次明細'!$L$58&gt;0,$B82&gt;='班次明細'!$G$58,$C82&lt;='班次明細'!$H$58,OR('班次明細'!$K$58=0,$C82&lt;='班次明細'!$I$58,$B82&gt;='班次明細'!$J$58)),1,0)+IF(AND('班次明細'!$L$65&gt;0,$B82&gt;='班次明細'!$G$65,$C82&lt;='班次明細'!$H$65,OR('班次明細'!$K$65=0,$C82&lt;='班次明細'!$I$65,$B82&gt;='班次明細'!$J$65)),1,0)+IF(AND('班次明細'!$L$72&gt;0,$B82&gt;='班次明細'!$G$72,$C82&lt;='班次明細'!$H$72,OR('班次明細'!$K$72=0,$C82&lt;='班次明細'!$I$72,$B82&gt;='班次明細'!$J$72)),1,0)+IF(AND('班次明細'!$L$79&gt;0,$B82&gt;='班次明細'!$G$79,$C82&lt;='班次明細'!$H$79,OR('班次明細'!$K$79=0,$C82&lt;='班次明細'!$I$79,$B82&gt;='班次明細'!$J$79)),1,0)</x:f>
        <x:v>5</x:v>
      </x:c>
      <x:c r="H82" s="2" t="n">
        <x:f>MAX(0,E82-G82)</x:f>
        <x:v>0</x:v>
      </x:c>
      <x:c r="I82" s="2" t="n">
        <x:f>IF(F82="",0,MAX(0,G82-F82))</x:f>
        <x:v>1</x:v>
      </x:c>
      <x:c r="J82" s="2" t="n">
        <x:v>0</x:v>
      </x:c>
      <x:c r="K82" s="11" t="str"/>
      <x:c r="L82" s="11" t="str">
        <x:f>IF(OR(H82&gt;0,J82&gt;0),"營運參考／主管現場協調",IF(I82&gt;0,"營運參考／主管現場協調","本段人力足夠"))</x:f>
        <x:v>營運參考／主管現場協調</x:v>
      </x:c>
    </x:row>
    <x:row r="83" ht="42" customHeight="1">
      <x:c r="A83" s="12" t="n">
        <x:v>46282</x:v>
      </x:c>
      <x:c r="B83" s="13" t="n">
        <x:v>0.5208333333333334</x:v>
      </x:c>
      <x:c r="C83" s="13" t="n">
        <x:v>0.5416666666666666</x:v>
      </x:c>
      <x:c r="D83" s="2" t="str">
        <x:v>平日午峰</x:v>
      </x:c>
      <x:c r="E83" s="2" t="n">
        <x:v>4</x:v>
      </x:c>
      <x:c r="F83" s="2" t="n">
        <x:v>4</x:v>
      </x:c>
      <x:c r="G83" s="2" t="n">
        <x:f>IF(AND('班次明細'!$L$9&gt;0,$B83&gt;='班次明細'!$G$9,$C83&lt;='班次明細'!$H$9,OR('班次明細'!$K$9=0,$C83&lt;='班次明細'!$I$9,$B83&gt;='班次明細'!$J$9)),1,0)+IF(AND('班次明細'!$L$16&gt;0,$B83&gt;='班次明細'!$G$16,$C83&lt;='班次明細'!$H$16,OR('班次明細'!$K$16=0,$C83&lt;='班次明細'!$I$16,$B83&gt;='班次明細'!$J$16)),1,0)+IF(AND('班次明細'!$L$23&gt;0,$B83&gt;='班次明細'!$G$23,$C83&lt;='班次明細'!$H$23,OR('班次明細'!$K$23=0,$C83&lt;='班次明細'!$I$23,$B83&gt;='班次明細'!$J$23)),1,0)+IF(AND('班次明細'!$L$30&gt;0,$B83&gt;='班次明細'!$G$30,$C83&lt;='班次明細'!$H$30,OR('班次明細'!$K$30=0,$C83&lt;='班次明細'!$I$30,$B83&gt;='班次明細'!$J$30)),1,0)+IF(AND('班次明細'!$L$37&gt;0,$B83&gt;='班次明細'!$G$37,$C83&lt;='班次明細'!$H$37,OR('班次明細'!$K$37=0,$C83&lt;='班次明細'!$I$37,$B83&gt;='班次明細'!$J$37)),1,0)+IF(AND('班次明細'!$L$44&gt;0,$B83&gt;='班次明細'!$G$44,$C83&lt;='班次明細'!$H$44,OR('班次明細'!$K$44=0,$C83&lt;='班次明細'!$I$44,$B83&gt;='班次明細'!$J$44)),1,0)+IF(AND('班次明細'!$L$51&gt;0,$B83&gt;='班次明細'!$G$51,$C83&lt;='班次明細'!$H$51,OR('班次明細'!$K$51=0,$C83&lt;='班次明細'!$I$51,$B83&gt;='班次明細'!$J$51)),1,0)+IF(AND('班次明細'!$L$58&gt;0,$B83&gt;='班次明細'!$G$58,$C83&lt;='班次明細'!$H$58,OR('班次明細'!$K$58=0,$C83&lt;='班次明細'!$I$58,$B83&gt;='班次明細'!$J$58)),1,0)+IF(AND('班次明細'!$L$65&gt;0,$B83&gt;='班次明細'!$G$65,$C83&lt;='班次明細'!$H$65,OR('班次明細'!$K$65=0,$C83&lt;='班次明細'!$I$65,$B83&gt;='班次明細'!$J$65)),1,0)+IF(AND('班次明細'!$L$72&gt;0,$B83&gt;='班次明細'!$G$72,$C83&lt;='班次明細'!$H$72,OR('班次明細'!$K$72=0,$C83&lt;='班次明細'!$I$72,$B83&gt;='班次明細'!$J$72)),1,0)+IF(AND('班次明細'!$L$79&gt;0,$B83&gt;='班次明細'!$G$79,$C83&lt;='班次明細'!$H$79,OR('班次明細'!$K$79=0,$C83&lt;='班次明細'!$I$79,$B83&gt;='班次明細'!$J$79)),1,0)</x:f>
        <x:v>5</x:v>
      </x:c>
      <x:c r="H83" s="2" t="n">
        <x:f>MAX(0,E83-G83)</x:f>
        <x:v>0</x:v>
      </x:c>
      <x:c r="I83" s="2" t="n">
        <x:f>IF(F83="",0,MAX(0,G83-F83))</x:f>
        <x:v>1</x:v>
      </x:c>
      <x:c r="J83" s="2" t="n">
        <x:v>0</x:v>
      </x:c>
      <x:c r="K83" s="11" t="str"/>
      <x:c r="L83" s="11" t="str">
        <x:f>IF(OR(H83&gt;0,J83&gt;0),"營運參考／主管現場協調",IF(I83&gt;0,"營運參考／主管現場協調","本段人力足夠"))</x:f>
        <x:v>營運參考／主管現場協調</x:v>
      </x:c>
    </x:row>
    <x:row r="84" ht="42" customHeight="1">
      <x:c r="A84" s="12" t="n">
        <x:v>46282</x:v>
      </x:c>
      <x:c r="B84" s="13" t="n">
        <x:v>0.5416666666666666</x:v>
      </x:c>
      <x:c r="C84" s="13" t="n">
        <x:v>0.5625</x:v>
      </x:c>
      <x:c r="D84" s="2" t="str">
        <x:v>平日午峰</x:v>
      </x:c>
      <x:c r="E84" s="2" t="n">
        <x:v>4</x:v>
      </x:c>
      <x:c r="F84" s="2" t="n">
        <x:v>4</x:v>
      </x:c>
      <x:c r="G84" s="2" t="n">
        <x:f>IF(AND('班次明細'!$L$9&gt;0,$B84&gt;='班次明細'!$G$9,$C84&lt;='班次明細'!$H$9,OR('班次明細'!$K$9=0,$C84&lt;='班次明細'!$I$9,$B84&gt;='班次明細'!$J$9)),1,0)+IF(AND('班次明細'!$L$16&gt;0,$B84&gt;='班次明細'!$G$16,$C84&lt;='班次明細'!$H$16,OR('班次明細'!$K$16=0,$C84&lt;='班次明細'!$I$16,$B84&gt;='班次明細'!$J$16)),1,0)+IF(AND('班次明細'!$L$23&gt;0,$B84&gt;='班次明細'!$G$23,$C84&lt;='班次明細'!$H$23,OR('班次明細'!$K$23=0,$C84&lt;='班次明細'!$I$23,$B84&gt;='班次明細'!$J$23)),1,0)+IF(AND('班次明細'!$L$30&gt;0,$B84&gt;='班次明細'!$G$30,$C84&lt;='班次明細'!$H$30,OR('班次明細'!$K$30=0,$C84&lt;='班次明細'!$I$30,$B84&gt;='班次明細'!$J$30)),1,0)+IF(AND('班次明細'!$L$37&gt;0,$B84&gt;='班次明細'!$G$37,$C84&lt;='班次明細'!$H$37,OR('班次明細'!$K$37=0,$C84&lt;='班次明細'!$I$37,$B84&gt;='班次明細'!$J$37)),1,0)+IF(AND('班次明細'!$L$44&gt;0,$B84&gt;='班次明細'!$G$44,$C84&lt;='班次明細'!$H$44,OR('班次明細'!$K$44=0,$C84&lt;='班次明細'!$I$44,$B84&gt;='班次明細'!$J$44)),1,0)+IF(AND('班次明細'!$L$51&gt;0,$B84&gt;='班次明細'!$G$51,$C84&lt;='班次明細'!$H$51,OR('班次明細'!$K$51=0,$C84&lt;='班次明細'!$I$51,$B84&gt;='班次明細'!$J$51)),1,0)+IF(AND('班次明細'!$L$58&gt;0,$B84&gt;='班次明細'!$G$58,$C84&lt;='班次明細'!$H$58,OR('班次明細'!$K$58=0,$C84&lt;='班次明細'!$I$58,$B84&gt;='班次明細'!$J$58)),1,0)+IF(AND('班次明細'!$L$65&gt;0,$B84&gt;='班次明細'!$G$65,$C84&lt;='班次明細'!$H$65,OR('班次明細'!$K$65=0,$C84&lt;='班次明細'!$I$65,$B84&gt;='班次明細'!$J$65)),1,0)+IF(AND('班次明細'!$L$72&gt;0,$B84&gt;='班次明細'!$G$72,$C84&lt;='班次明細'!$H$72,OR('班次明細'!$K$72=0,$C84&lt;='班次明細'!$I$72,$B84&gt;='班次明細'!$J$72)),1,0)+IF(AND('班次明細'!$L$79&gt;0,$B84&gt;='班次明細'!$G$79,$C84&lt;='班次明細'!$H$79,OR('班次明細'!$K$79=0,$C84&lt;='班次明細'!$I$79,$B84&gt;='班次明細'!$J$79)),1,0)</x:f>
        <x:v>4</x:v>
      </x:c>
      <x:c r="H84" s="2" t="n">
        <x:f>MAX(0,E84-G84)</x:f>
        <x:v>0</x:v>
      </x:c>
      <x:c r="I84" s="2" t="n">
        <x:f>IF(F84="",0,MAX(0,G84-F84))</x:f>
        <x:v>0</x:v>
      </x:c>
      <x:c r="J84" s="2" t="n">
        <x:v>0</x:v>
      </x:c>
      <x:c r="K84" s="11" t="str"/>
      <x:c r="L84" s="11" t="str">
        <x:f>IF(OR(H84&gt;0,J84&gt;0),"營運參考／主管現場協調",IF(I84&gt;0,"營運參考／主管現場協調","本段人力足夠"))</x:f>
        <x:v>本段人力足夠</x:v>
      </x:c>
    </x:row>
    <x:row r="85" ht="42" customHeight="1">
      <x:c r="A85" s="12" t="n">
        <x:v>46282</x:v>
      </x:c>
      <x:c r="B85" s="13" t="n">
        <x:v>0.5625</x:v>
      </x:c>
      <x:c r="C85" s="13" t="n">
        <x:v>0.5833333333333334</x:v>
      </x:c>
      <x:c r="D85" s="2" t="str">
        <x:v>平日離峰</x:v>
      </x:c>
      <x:c r="E85" s="2" t="n">
        <x:v>2</x:v>
      </x:c>
      <x:c r="F85" s="2"/>
      <x:c r="G85" s="2" t="n">
        <x:f>IF(AND('班次明細'!$L$9&gt;0,$B85&gt;='班次明細'!$G$9,$C85&lt;='班次明細'!$H$9,OR('班次明細'!$K$9=0,$C85&lt;='班次明細'!$I$9,$B85&gt;='班次明細'!$J$9)),1,0)+IF(AND('班次明細'!$L$16&gt;0,$B85&gt;='班次明細'!$G$16,$C85&lt;='班次明細'!$H$16,OR('班次明細'!$K$16=0,$C85&lt;='班次明細'!$I$16,$B85&gt;='班次明細'!$J$16)),1,0)+IF(AND('班次明細'!$L$23&gt;0,$B85&gt;='班次明細'!$G$23,$C85&lt;='班次明細'!$H$23,OR('班次明細'!$K$23=0,$C85&lt;='班次明細'!$I$23,$B85&gt;='班次明細'!$J$23)),1,0)+IF(AND('班次明細'!$L$30&gt;0,$B85&gt;='班次明細'!$G$30,$C85&lt;='班次明細'!$H$30,OR('班次明細'!$K$30=0,$C85&lt;='班次明細'!$I$30,$B85&gt;='班次明細'!$J$30)),1,0)+IF(AND('班次明細'!$L$37&gt;0,$B85&gt;='班次明細'!$G$37,$C85&lt;='班次明細'!$H$37,OR('班次明細'!$K$37=0,$C85&lt;='班次明細'!$I$37,$B85&gt;='班次明細'!$J$37)),1,0)+IF(AND('班次明細'!$L$44&gt;0,$B85&gt;='班次明細'!$G$44,$C85&lt;='班次明細'!$H$44,OR('班次明細'!$K$44=0,$C85&lt;='班次明細'!$I$44,$B85&gt;='班次明細'!$J$44)),1,0)+IF(AND('班次明細'!$L$51&gt;0,$B85&gt;='班次明細'!$G$51,$C85&lt;='班次明細'!$H$51,OR('班次明細'!$K$51=0,$C85&lt;='班次明細'!$I$51,$B85&gt;='班次明細'!$J$51)),1,0)+IF(AND('班次明細'!$L$58&gt;0,$B85&gt;='班次明細'!$G$58,$C85&lt;='班次明細'!$H$58,OR('班次明細'!$K$58=0,$C85&lt;='班次明細'!$I$58,$B85&gt;='班次明細'!$J$58)),1,0)+IF(AND('班次明細'!$L$65&gt;0,$B85&gt;='班次明細'!$G$65,$C85&lt;='班次明細'!$H$65,OR('班次明細'!$K$65=0,$C85&lt;='班次明細'!$I$65,$B85&gt;='班次明細'!$J$65)),1,0)+IF(AND('班次明細'!$L$72&gt;0,$B85&gt;='班次明細'!$G$72,$C85&lt;='班次明細'!$H$72,OR('班次明細'!$K$72=0,$C85&lt;='班次明細'!$I$72,$B85&gt;='班次明細'!$J$72)),1,0)+IF(AND('班次明細'!$L$79&gt;0,$B85&gt;='班次明細'!$G$79,$C85&lt;='班次明細'!$H$79,OR('班次明細'!$K$79=0,$C85&lt;='班次明細'!$I$79,$B85&gt;='班次明細'!$J$79)),1,0)</x:f>
        <x:v>5</x:v>
      </x:c>
      <x:c r="H85" s="2" t="n">
        <x:f>MAX(0,E85-G85)</x:f>
        <x:v>0</x:v>
      </x:c>
      <x:c r="I85" s="2" t="n">
        <x:f>IF(F85="",0,MAX(0,G85-F85))</x:f>
        <x:v>0</x:v>
      </x:c>
      <x:c r="J85" s="2" t="n">
        <x:v>0</x:v>
      </x:c>
      <x:c r="K85" s="11" t="str"/>
      <x:c r="L85" s="11" t="str">
        <x:f>IF(OR(H85&gt;0,J85&gt;0),"營運參考／主管現場協調",IF(I85&gt;0,"營運參考／主管現場協調","本段人力足夠"))</x:f>
        <x:v>本段人力足夠</x:v>
      </x:c>
    </x:row>
    <x:row r="86" ht="42" customHeight="1">
      <x:c r="A86" s="12" t="n">
        <x:v>46282</x:v>
      </x:c>
      <x:c r="B86" s="13" t="n">
        <x:v>0.5833333333333334</x:v>
      </x:c>
      <x:c r="C86" s="13" t="n">
        <x:v>0.6041666666666666</x:v>
      </x:c>
      <x:c r="D86" s="2" t="str">
        <x:v>平日離峰</x:v>
      </x:c>
      <x:c r="E86" s="2" t="n">
        <x:v>2</x:v>
      </x:c>
      <x:c r="F86" s="2"/>
      <x:c r="G86" s="2" t="n">
        <x:f>IF(AND('班次明細'!$L$9&gt;0,$B86&gt;='班次明細'!$G$9,$C86&lt;='班次明細'!$H$9,OR('班次明細'!$K$9=0,$C86&lt;='班次明細'!$I$9,$B86&gt;='班次明細'!$J$9)),1,0)+IF(AND('班次明細'!$L$16&gt;0,$B86&gt;='班次明細'!$G$16,$C86&lt;='班次明細'!$H$16,OR('班次明細'!$K$16=0,$C86&lt;='班次明細'!$I$16,$B86&gt;='班次明細'!$J$16)),1,0)+IF(AND('班次明細'!$L$23&gt;0,$B86&gt;='班次明細'!$G$23,$C86&lt;='班次明細'!$H$23,OR('班次明細'!$K$23=0,$C86&lt;='班次明細'!$I$23,$B86&gt;='班次明細'!$J$23)),1,0)+IF(AND('班次明細'!$L$30&gt;0,$B86&gt;='班次明細'!$G$30,$C86&lt;='班次明細'!$H$30,OR('班次明細'!$K$30=0,$C86&lt;='班次明細'!$I$30,$B86&gt;='班次明細'!$J$30)),1,0)+IF(AND('班次明細'!$L$37&gt;0,$B86&gt;='班次明細'!$G$37,$C86&lt;='班次明細'!$H$37,OR('班次明細'!$K$37=0,$C86&lt;='班次明細'!$I$37,$B86&gt;='班次明細'!$J$37)),1,0)+IF(AND('班次明細'!$L$44&gt;0,$B86&gt;='班次明細'!$G$44,$C86&lt;='班次明細'!$H$44,OR('班次明細'!$K$44=0,$C86&lt;='班次明細'!$I$44,$B86&gt;='班次明細'!$J$44)),1,0)+IF(AND('班次明細'!$L$51&gt;0,$B86&gt;='班次明細'!$G$51,$C86&lt;='班次明細'!$H$51,OR('班次明細'!$K$51=0,$C86&lt;='班次明細'!$I$51,$B86&gt;='班次明細'!$J$51)),1,0)+IF(AND('班次明細'!$L$58&gt;0,$B86&gt;='班次明細'!$G$58,$C86&lt;='班次明細'!$H$58,OR('班次明細'!$K$58=0,$C86&lt;='班次明細'!$I$58,$B86&gt;='班次明細'!$J$58)),1,0)+IF(AND('班次明細'!$L$65&gt;0,$B86&gt;='班次明細'!$G$65,$C86&lt;='班次明細'!$H$65,OR('班次明細'!$K$65=0,$C86&lt;='班次明細'!$I$65,$B86&gt;='班次明細'!$J$65)),1,0)+IF(AND('班次明細'!$L$72&gt;0,$B86&gt;='班次明細'!$G$72,$C86&lt;='班次明細'!$H$72,OR('班次明細'!$K$72=0,$C86&lt;='班次明細'!$I$72,$B86&gt;='班次明細'!$J$72)),1,0)+IF(AND('班次明細'!$L$79&gt;0,$B86&gt;='班次明細'!$G$79,$C86&lt;='班次明細'!$H$79,OR('班次明細'!$K$79=0,$C86&lt;='班次明細'!$I$79,$B86&gt;='班次明細'!$J$79)),1,0)</x:f>
        <x:v>4</x:v>
      </x:c>
      <x:c r="H86" s="2" t="n">
        <x:f>MAX(0,E86-G86)</x:f>
        <x:v>0</x:v>
      </x:c>
      <x:c r="I86" s="2" t="n">
        <x:f>IF(F86="",0,MAX(0,G86-F86))</x:f>
        <x:v>0</x:v>
      </x:c>
      <x:c r="J86" s="2" t="n">
        <x:v>0</x:v>
      </x:c>
      <x:c r="K86" s="11" t="str"/>
      <x:c r="L86" s="11" t="str">
        <x:f>IF(OR(H86&gt;0,J86&gt;0),"營運參考／主管現場協調",IF(I86&gt;0,"營運參考／主管現場協調","本段人力足夠"))</x:f>
        <x:v>本段人力足夠</x:v>
      </x:c>
    </x:row>
    <x:row r="87" ht="42" customHeight="1">
      <x:c r="A87" s="12" t="n">
        <x:v>46282</x:v>
      </x:c>
      <x:c r="B87" s="13" t="n">
        <x:v>0.6041666666666666</x:v>
      </x:c>
      <x:c r="C87" s="13" t="n">
        <x:v>0.625</x:v>
      </x:c>
      <x:c r="D87" s="2" t="str">
        <x:v>平日離峰</x:v>
      </x:c>
      <x:c r="E87" s="2" t="n">
        <x:v>2</x:v>
      </x:c>
      <x:c r="F87" s="2"/>
      <x:c r="G87" s="2" t="n">
        <x:f>IF(AND('班次明細'!$L$9&gt;0,$B87&gt;='班次明細'!$G$9,$C87&lt;='班次明細'!$H$9,OR('班次明細'!$K$9=0,$C87&lt;='班次明細'!$I$9,$B87&gt;='班次明細'!$J$9)),1,0)+IF(AND('班次明細'!$L$16&gt;0,$B87&gt;='班次明細'!$G$16,$C87&lt;='班次明細'!$H$16,OR('班次明細'!$K$16=0,$C87&lt;='班次明細'!$I$16,$B87&gt;='班次明細'!$J$16)),1,0)+IF(AND('班次明細'!$L$23&gt;0,$B87&gt;='班次明細'!$G$23,$C87&lt;='班次明細'!$H$23,OR('班次明細'!$K$23=0,$C87&lt;='班次明細'!$I$23,$B87&gt;='班次明細'!$J$23)),1,0)+IF(AND('班次明細'!$L$30&gt;0,$B87&gt;='班次明細'!$G$30,$C87&lt;='班次明細'!$H$30,OR('班次明細'!$K$30=0,$C87&lt;='班次明細'!$I$30,$B87&gt;='班次明細'!$J$30)),1,0)+IF(AND('班次明細'!$L$37&gt;0,$B87&gt;='班次明細'!$G$37,$C87&lt;='班次明細'!$H$37,OR('班次明細'!$K$37=0,$C87&lt;='班次明細'!$I$37,$B87&gt;='班次明細'!$J$37)),1,0)+IF(AND('班次明細'!$L$44&gt;0,$B87&gt;='班次明細'!$G$44,$C87&lt;='班次明細'!$H$44,OR('班次明細'!$K$44=0,$C87&lt;='班次明細'!$I$44,$B87&gt;='班次明細'!$J$44)),1,0)+IF(AND('班次明細'!$L$51&gt;0,$B87&gt;='班次明細'!$G$51,$C87&lt;='班次明細'!$H$51,OR('班次明細'!$K$51=0,$C87&lt;='班次明細'!$I$51,$B87&gt;='班次明細'!$J$51)),1,0)+IF(AND('班次明細'!$L$58&gt;0,$B87&gt;='班次明細'!$G$58,$C87&lt;='班次明細'!$H$58,OR('班次明細'!$K$58=0,$C87&lt;='班次明細'!$I$58,$B87&gt;='班次明細'!$J$58)),1,0)+IF(AND('班次明細'!$L$65&gt;0,$B87&gt;='班次明細'!$G$65,$C87&lt;='班次明細'!$H$65,OR('班次明細'!$K$65=0,$C87&lt;='班次明細'!$I$65,$B87&gt;='班次明細'!$J$65)),1,0)+IF(AND('班次明細'!$L$72&gt;0,$B87&gt;='班次明細'!$G$72,$C87&lt;='班次明細'!$H$72,OR('班次明細'!$K$72=0,$C87&lt;='班次明細'!$I$72,$B87&gt;='班次明細'!$J$72)),1,0)+IF(AND('班次明細'!$L$79&gt;0,$B87&gt;='班次明細'!$G$79,$C87&lt;='班次明細'!$H$79,OR('班次明細'!$K$79=0,$C87&lt;='班次明細'!$I$79,$B87&gt;='班次明細'!$J$79)),1,0)</x:f>
        <x:v>4</x:v>
      </x:c>
      <x:c r="H87" s="2" t="n">
        <x:f>MAX(0,E87-G87)</x:f>
        <x:v>0</x:v>
      </x:c>
      <x:c r="I87" s="2" t="n">
        <x:f>IF(F87="",0,MAX(0,G87-F87))</x:f>
        <x:v>0</x:v>
      </x:c>
      <x:c r="J87" s="2" t="n">
        <x:v>0</x:v>
      </x:c>
      <x:c r="K87" s="11" t="str"/>
      <x:c r="L87" s="11" t="str">
        <x:f>IF(OR(H87&gt;0,J87&gt;0),"營運參考／主管現場協調",IF(I87&gt;0,"營運參考／主管現場協調","本段人力足夠"))</x:f>
        <x:v>本段人力足夠</x:v>
      </x:c>
    </x:row>
    <x:row r="88" ht="42" customHeight="1">
      <x:c r="A88" s="12" t="n">
        <x:v>46282</x:v>
      </x:c>
      <x:c r="B88" s="13" t="n">
        <x:v>0.625</x:v>
      </x:c>
      <x:c r="C88" s="13" t="n">
        <x:v>0.6458333333333334</x:v>
      </x:c>
      <x:c r="D88" s="2" t="str">
        <x:v>平日離峰</x:v>
      </x:c>
      <x:c r="E88" s="2" t="n">
        <x:v>2</x:v>
      </x:c>
      <x:c r="F88" s="2"/>
      <x:c r="G88" s="2" t="n">
        <x:f>IF(AND('班次明細'!$L$9&gt;0,$B88&gt;='班次明細'!$G$9,$C88&lt;='班次明細'!$H$9,OR('班次明細'!$K$9=0,$C88&lt;='班次明細'!$I$9,$B88&gt;='班次明細'!$J$9)),1,0)+IF(AND('班次明細'!$L$16&gt;0,$B88&gt;='班次明細'!$G$16,$C88&lt;='班次明細'!$H$16,OR('班次明細'!$K$16=0,$C88&lt;='班次明細'!$I$16,$B88&gt;='班次明細'!$J$16)),1,0)+IF(AND('班次明細'!$L$23&gt;0,$B88&gt;='班次明細'!$G$23,$C88&lt;='班次明細'!$H$23,OR('班次明細'!$K$23=0,$C88&lt;='班次明細'!$I$23,$B88&gt;='班次明細'!$J$23)),1,0)+IF(AND('班次明細'!$L$30&gt;0,$B88&gt;='班次明細'!$G$30,$C88&lt;='班次明細'!$H$30,OR('班次明細'!$K$30=0,$C88&lt;='班次明細'!$I$30,$B88&gt;='班次明細'!$J$30)),1,0)+IF(AND('班次明細'!$L$37&gt;0,$B88&gt;='班次明細'!$G$37,$C88&lt;='班次明細'!$H$37,OR('班次明細'!$K$37=0,$C88&lt;='班次明細'!$I$37,$B88&gt;='班次明細'!$J$37)),1,0)+IF(AND('班次明細'!$L$44&gt;0,$B88&gt;='班次明細'!$G$44,$C88&lt;='班次明細'!$H$44,OR('班次明細'!$K$44=0,$C88&lt;='班次明細'!$I$44,$B88&gt;='班次明細'!$J$44)),1,0)+IF(AND('班次明細'!$L$51&gt;0,$B88&gt;='班次明細'!$G$51,$C88&lt;='班次明細'!$H$51,OR('班次明細'!$K$51=0,$C88&lt;='班次明細'!$I$51,$B88&gt;='班次明細'!$J$51)),1,0)+IF(AND('班次明細'!$L$58&gt;0,$B88&gt;='班次明細'!$G$58,$C88&lt;='班次明細'!$H$58,OR('班次明細'!$K$58=0,$C88&lt;='班次明細'!$I$58,$B88&gt;='班次明細'!$J$58)),1,0)+IF(AND('班次明細'!$L$65&gt;0,$B88&gt;='班次明細'!$G$65,$C88&lt;='班次明細'!$H$65,OR('班次明細'!$K$65=0,$C88&lt;='班次明細'!$I$65,$B88&gt;='班次明細'!$J$65)),1,0)+IF(AND('班次明細'!$L$72&gt;0,$B88&gt;='班次明細'!$G$72,$C88&lt;='班次明細'!$H$72,OR('班次明細'!$K$72=0,$C88&lt;='班次明細'!$I$72,$B88&gt;='班次明細'!$J$72)),1,0)+IF(AND('班次明細'!$L$79&gt;0,$B88&gt;='班次明細'!$G$79,$C88&lt;='班次明細'!$H$79,OR('班次明細'!$K$79=0,$C88&lt;='班次明細'!$I$79,$B88&gt;='班次明細'!$J$79)),1,0)</x:f>
        <x:v>3</x:v>
      </x:c>
      <x:c r="H88" s="2" t="n">
        <x:f>MAX(0,E88-G88)</x:f>
        <x:v>0</x:v>
      </x:c>
      <x:c r="I88" s="2" t="n">
        <x:f>IF(F88="",0,MAX(0,G88-F88))</x:f>
        <x:v>0</x:v>
      </x:c>
      <x:c r="J88" s="2" t="n">
        <x:v>0</x:v>
      </x:c>
      <x:c r="K88" s="11" t="str"/>
      <x:c r="L88" s="11" t="str">
        <x:f>IF(OR(H88&gt;0,J88&gt;0),"營運參考／主管現場協調",IF(I88&gt;0,"營運參考／主管現場協調","本段人力足夠"))</x:f>
        <x:v>本段人力足夠</x:v>
      </x:c>
    </x:row>
    <x:row r="89" ht="42" customHeight="1">
      <x:c r="A89" s="12" t="n">
        <x:v>46282</x:v>
      </x:c>
      <x:c r="B89" s="13" t="n">
        <x:v>0.6458333333333334</x:v>
      </x:c>
      <x:c r="C89" s="13" t="n">
        <x:v>0.6666666666666666</x:v>
      </x:c>
      <x:c r="D89" s="2" t="str">
        <x:v>平日離峰</x:v>
      </x:c>
      <x:c r="E89" s="2" t="n">
        <x:v>2</x:v>
      </x:c>
      <x:c r="F89" s="2"/>
      <x:c r="G89" s="2" t="n">
        <x:f>IF(AND('班次明細'!$L$9&gt;0,$B89&gt;='班次明細'!$G$9,$C89&lt;='班次明細'!$H$9,OR('班次明細'!$K$9=0,$C89&lt;='班次明細'!$I$9,$B89&gt;='班次明細'!$J$9)),1,0)+IF(AND('班次明細'!$L$16&gt;0,$B89&gt;='班次明細'!$G$16,$C89&lt;='班次明細'!$H$16,OR('班次明細'!$K$16=0,$C89&lt;='班次明細'!$I$16,$B89&gt;='班次明細'!$J$16)),1,0)+IF(AND('班次明細'!$L$23&gt;0,$B89&gt;='班次明細'!$G$23,$C89&lt;='班次明細'!$H$23,OR('班次明細'!$K$23=0,$C89&lt;='班次明細'!$I$23,$B89&gt;='班次明細'!$J$23)),1,0)+IF(AND('班次明細'!$L$30&gt;0,$B89&gt;='班次明細'!$G$30,$C89&lt;='班次明細'!$H$30,OR('班次明細'!$K$30=0,$C89&lt;='班次明細'!$I$30,$B89&gt;='班次明細'!$J$30)),1,0)+IF(AND('班次明細'!$L$37&gt;0,$B89&gt;='班次明細'!$G$37,$C89&lt;='班次明細'!$H$37,OR('班次明細'!$K$37=0,$C89&lt;='班次明細'!$I$37,$B89&gt;='班次明細'!$J$37)),1,0)+IF(AND('班次明細'!$L$44&gt;0,$B89&gt;='班次明細'!$G$44,$C89&lt;='班次明細'!$H$44,OR('班次明細'!$K$44=0,$C89&lt;='班次明細'!$I$44,$B89&gt;='班次明細'!$J$44)),1,0)+IF(AND('班次明細'!$L$51&gt;0,$B89&gt;='班次明細'!$G$51,$C89&lt;='班次明細'!$H$51,OR('班次明細'!$K$51=0,$C89&lt;='班次明細'!$I$51,$B89&gt;='班次明細'!$J$51)),1,0)+IF(AND('班次明細'!$L$58&gt;0,$B89&gt;='班次明細'!$G$58,$C89&lt;='班次明細'!$H$58,OR('班次明細'!$K$58=0,$C89&lt;='班次明細'!$I$58,$B89&gt;='班次明細'!$J$58)),1,0)+IF(AND('班次明細'!$L$65&gt;0,$B89&gt;='班次明細'!$G$65,$C89&lt;='班次明細'!$H$65,OR('班次明細'!$K$65=0,$C89&lt;='班次明細'!$I$65,$B89&gt;='班次明細'!$J$65)),1,0)+IF(AND('班次明細'!$L$72&gt;0,$B89&gt;='班次明細'!$G$72,$C89&lt;='班次明細'!$H$72,OR('班次明細'!$K$72=0,$C89&lt;='班次明細'!$I$72,$B89&gt;='班次明細'!$J$72)),1,0)+IF(AND('班次明細'!$L$79&gt;0,$B89&gt;='班次明細'!$G$79,$C89&lt;='班次明細'!$H$79,OR('班次明細'!$K$79=0,$C89&lt;='班次明細'!$I$79,$B89&gt;='班次明細'!$J$79)),1,0)</x:f>
        <x:v>1</x:v>
      </x:c>
      <x:c r="H89" s="2" t="n">
        <x:f>MAX(0,E89-G89)</x:f>
        <x:v>1</x:v>
      </x:c>
      <x:c r="I89" s="2" t="n">
        <x:f>IF(F89="",0,MAX(0,G89-F89))</x:f>
        <x:v>0</x:v>
      </x:c>
      <x:c r="J89" s="2" t="n">
        <x:v>1</x:v>
      </x:c>
      <x:c r="K89" s="11" t="str"/>
      <x:c r="L89" s="11" t="str">
        <x:f>IF(OR(H89&gt;0,J89&gt;0),"營運參考／主管現場協調",IF(I89&gt;0,"營運參考／主管現場協調","本段人力足夠"))</x:f>
        <x:v>營運參考／主管現場協調</x:v>
      </x:c>
    </x:row>
    <x:row r="90" ht="42" customHeight="1">
      <x:c r="A90" s="12" t="n">
        <x:v>46282</x:v>
      </x:c>
      <x:c r="B90" s="13" t="n">
        <x:v>0.6666666666666666</x:v>
      </x:c>
      <x:c r="C90" s="13" t="n">
        <x:v>0.6875</x:v>
      </x:c>
      <x:c r="D90" s="2" t="str">
        <x:v>平日離峰</x:v>
      </x:c>
      <x:c r="E90" s="2" t="n">
        <x:v>2</x:v>
      </x:c>
      <x:c r="F90" s="2"/>
      <x:c r="G90" s="2" t="n">
        <x:f>IF(AND('班次明細'!$L$9&gt;0,$B90&gt;='班次明細'!$G$9,$C90&lt;='班次明細'!$H$9,OR('班次明細'!$K$9=0,$C90&lt;='班次明細'!$I$9,$B90&gt;='班次明細'!$J$9)),1,0)+IF(AND('班次明細'!$L$16&gt;0,$B90&gt;='班次明細'!$G$16,$C90&lt;='班次明細'!$H$16,OR('班次明細'!$K$16=0,$C90&lt;='班次明細'!$I$16,$B90&gt;='班次明細'!$J$16)),1,0)+IF(AND('班次明細'!$L$23&gt;0,$B90&gt;='班次明細'!$G$23,$C90&lt;='班次明細'!$H$23,OR('班次明細'!$K$23=0,$C90&lt;='班次明細'!$I$23,$B90&gt;='班次明細'!$J$23)),1,0)+IF(AND('班次明細'!$L$30&gt;0,$B90&gt;='班次明細'!$G$30,$C90&lt;='班次明細'!$H$30,OR('班次明細'!$K$30=0,$C90&lt;='班次明細'!$I$30,$B90&gt;='班次明細'!$J$30)),1,0)+IF(AND('班次明細'!$L$37&gt;0,$B90&gt;='班次明細'!$G$37,$C90&lt;='班次明細'!$H$37,OR('班次明細'!$K$37=0,$C90&lt;='班次明細'!$I$37,$B90&gt;='班次明細'!$J$37)),1,0)+IF(AND('班次明細'!$L$44&gt;0,$B90&gt;='班次明細'!$G$44,$C90&lt;='班次明細'!$H$44,OR('班次明細'!$K$44=0,$C90&lt;='班次明細'!$I$44,$B90&gt;='班次明細'!$J$44)),1,0)+IF(AND('班次明細'!$L$51&gt;0,$B90&gt;='班次明細'!$G$51,$C90&lt;='班次明細'!$H$51,OR('班次明細'!$K$51=0,$C90&lt;='班次明細'!$I$51,$B90&gt;='班次明細'!$J$51)),1,0)+IF(AND('班次明細'!$L$58&gt;0,$B90&gt;='班次明細'!$G$58,$C90&lt;='班次明細'!$H$58,OR('班次明細'!$K$58=0,$C90&lt;='班次明細'!$I$58,$B90&gt;='班次明細'!$J$58)),1,0)+IF(AND('班次明細'!$L$65&gt;0,$B90&gt;='班次明細'!$G$65,$C90&lt;='班次明細'!$H$65,OR('班次明細'!$K$65=0,$C90&lt;='班次明細'!$I$65,$B90&gt;='班次明細'!$J$65)),1,0)+IF(AND('班次明細'!$L$72&gt;0,$B90&gt;='班次明細'!$G$72,$C90&lt;='班次明細'!$H$72,OR('班次明細'!$K$72=0,$C90&lt;='班次明細'!$I$72,$B90&gt;='班次明細'!$J$72)),1,0)+IF(AND('班次明細'!$L$79&gt;0,$B90&gt;='班次明細'!$G$79,$C90&lt;='班次明細'!$H$79,OR('班次明細'!$K$79=0,$C90&lt;='班次明細'!$I$79,$B90&gt;='班次明細'!$J$79)),1,0)</x:f>
        <x:v>1</x:v>
      </x:c>
      <x:c r="H90" s="2" t="n">
        <x:f>MAX(0,E90-G90)</x:f>
        <x:v>1</x:v>
      </x:c>
      <x:c r="I90" s="2" t="n">
        <x:f>IF(F90="",0,MAX(0,G90-F90))</x:f>
        <x:v>0</x:v>
      </x:c>
      <x:c r="J90" s="2" t="n">
        <x:v>1</x:v>
      </x:c>
      <x:c r="K90" s="11" t="str"/>
      <x:c r="L90" s="11" t="str">
        <x:f>IF(OR(H90&gt;0,J90&gt;0),"營運參考／主管現場協調",IF(I90&gt;0,"營運參考／主管現場協調","本段人力足夠"))</x:f>
        <x:v>營運參考／主管現場協調</x:v>
      </x:c>
    </x:row>
    <x:row r="91" ht="42" customHeight="1">
      <x:c r="A91" s="12" t="n">
        <x:v>46282</x:v>
      </x:c>
      <x:c r="B91" s="13" t="n">
        <x:v>0.6875</x:v>
      </x:c>
      <x:c r="C91" s="13" t="n">
        <x:v>0.7083333333333334</x:v>
      </x:c>
      <x:c r="D91" s="2" t="str">
        <x:v>平日離峰</x:v>
      </x:c>
      <x:c r="E91" s="2" t="n">
        <x:v>2</x:v>
      </x:c>
      <x:c r="F91" s="2"/>
      <x:c r="G91" s="2" t="n">
        <x:f>IF(AND('班次明細'!$L$9&gt;0,$B91&gt;='班次明細'!$G$9,$C91&lt;='班次明細'!$H$9,OR('班次明細'!$K$9=0,$C91&lt;='班次明細'!$I$9,$B91&gt;='班次明細'!$J$9)),1,0)+IF(AND('班次明細'!$L$16&gt;0,$B91&gt;='班次明細'!$G$16,$C91&lt;='班次明細'!$H$16,OR('班次明細'!$K$16=0,$C91&lt;='班次明細'!$I$16,$B91&gt;='班次明細'!$J$16)),1,0)+IF(AND('班次明細'!$L$23&gt;0,$B91&gt;='班次明細'!$G$23,$C91&lt;='班次明細'!$H$23,OR('班次明細'!$K$23=0,$C91&lt;='班次明細'!$I$23,$B91&gt;='班次明細'!$J$23)),1,0)+IF(AND('班次明細'!$L$30&gt;0,$B91&gt;='班次明細'!$G$30,$C91&lt;='班次明細'!$H$30,OR('班次明細'!$K$30=0,$C91&lt;='班次明細'!$I$30,$B91&gt;='班次明細'!$J$30)),1,0)+IF(AND('班次明細'!$L$37&gt;0,$B91&gt;='班次明細'!$G$37,$C91&lt;='班次明細'!$H$37,OR('班次明細'!$K$37=0,$C91&lt;='班次明細'!$I$37,$B91&gt;='班次明細'!$J$37)),1,0)+IF(AND('班次明細'!$L$44&gt;0,$B91&gt;='班次明細'!$G$44,$C91&lt;='班次明細'!$H$44,OR('班次明細'!$K$44=0,$C91&lt;='班次明細'!$I$44,$B91&gt;='班次明細'!$J$44)),1,0)+IF(AND('班次明細'!$L$51&gt;0,$B91&gt;='班次明細'!$G$51,$C91&lt;='班次明細'!$H$51,OR('班次明細'!$K$51=0,$C91&lt;='班次明細'!$I$51,$B91&gt;='班次明細'!$J$51)),1,0)+IF(AND('班次明細'!$L$58&gt;0,$B91&gt;='班次明細'!$G$58,$C91&lt;='班次明細'!$H$58,OR('班次明細'!$K$58=0,$C91&lt;='班次明細'!$I$58,$B91&gt;='班次明細'!$J$58)),1,0)+IF(AND('班次明細'!$L$65&gt;0,$B91&gt;='班次明細'!$G$65,$C91&lt;='班次明細'!$H$65,OR('班次明細'!$K$65=0,$C91&lt;='班次明細'!$I$65,$B91&gt;='班次明細'!$J$65)),1,0)+IF(AND('班次明細'!$L$72&gt;0,$B91&gt;='班次明細'!$G$72,$C91&lt;='班次明細'!$H$72,OR('班次明細'!$K$72=0,$C91&lt;='班次明細'!$I$72,$B91&gt;='班次明細'!$J$72)),1,0)+IF(AND('班次明細'!$L$79&gt;0,$B91&gt;='班次明細'!$G$79,$C91&lt;='班次明細'!$H$79,OR('班次明細'!$K$79=0,$C91&lt;='班次明細'!$I$79,$B91&gt;='班次明細'!$J$79)),1,0)</x:f>
        <x:v>2</x:v>
      </x:c>
      <x:c r="H91" s="2" t="n">
        <x:f>MAX(0,E91-G91)</x:f>
        <x:v>0</x:v>
      </x:c>
      <x:c r="I91" s="2" t="n">
        <x:f>IF(F91="",0,MAX(0,G91-F91))</x:f>
        <x:v>0</x:v>
      </x:c>
      <x:c r="J91" s="2" t="n">
        <x:v>0</x:v>
      </x:c>
      <x:c r="K91" s="11" t="str"/>
      <x:c r="L91" s="11" t="str">
        <x:f>IF(OR(H91&gt;0,J91&gt;0),"營運參考／主管現場協調",IF(I91&gt;0,"營運參考／主管現場協調","本段人力足夠"))</x:f>
        <x:v>本段人力足夠</x:v>
      </x:c>
    </x:row>
    <x:row r="92" ht="42" customHeight="1">
      <x:c r="A92" s="12" t="n">
        <x:v>46282</x:v>
      </x:c>
      <x:c r="B92" s="13" t="n">
        <x:v>0.7083333333333334</x:v>
      </x:c>
      <x:c r="C92" s="13" t="n">
        <x:v>0.7291666666666666</x:v>
      </x:c>
      <x:c r="D92" s="2" t="str">
        <x:v>平日離峰</x:v>
      </x:c>
      <x:c r="E92" s="2" t="n">
        <x:v>2</x:v>
      </x:c>
      <x:c r="F92" s="2"/>
      <x:c r="G92" s="2" t="n">
        <x:f>IF(AND('班次明細'!$L$9&gt;0,$B92&gt;='班次明細'!$G$9,$C92&lt;='班次明細'!$H$9,OR('班次明細'!$K$9=0,$C92&lt;='班次明細'!$I$9,$B92&gt;='班次明細'!$J$9)),1,0)+IF(AND('班次明細'!$L$16&gt;0,$B92&gt;='班次明細'!$G$16,$C92&lt;='班次明細'!$H$16,OR('班次明細'!$K$16=0,$C92&lt;='班次明細'!$I$16,$B92&gt;='班次明細'!$J$16)),1,0)+IF(AND('班次明細'!$L$23&gt;0,$B92&gt;='班次明細'!$G$23,$C92&lt;='班次明細'!$H$23,OR('班次明細'!$K$23=0,$C92&lt;='班次明細'!$I$23,$B92&gt;='班次明細'!$J$23)),1,0)+IF(AND('班次明細'!$L$30&gt;0,$B92&gt;='班次明細'!$G$30,$C92&lt;='班次明細'!$H$30,OR('班次明細'!$K$30=0,$C92&lt;='班次明細'!$I$30,$B92&gt;='班次明細'!$J$30)),1,0)+IF(AND('班次明細'!$L$37&gt;0,$B92&gt;='班次明細'!$G$37,$C92&lt;='班次明細'!$H$37,OR('班次明細'!$K$37=0,$C92&lt;='班次明細'!$I$37,$B92&gt;='班次明細'!$J$37)),1,0)+IF(AND('班次明細'!$L$44&gt;0,$B92&gt;='班次明細'!$G$44,$C92&lt;='班次明細'!$H$44,OR('班次明細'!$K$44=0,$C92&lt;='班次明細'!$I$44,$B92&gt;='班次明細'!$J$44)),1,0)+IF(AND('班次明細'!$L$51&gt;0,$B92&gt;='班次明細'!$G$51,$C92&lt;='班次明細'!$H$51,OR('班次明細'!$K$51=0,$C92&lt;='班次明細'!$I$51,$B92&gt;='班次明細'!$J$51)),1,0)+IF(AND('班次明細'!$L$58&gt;0,$B92&gt;='班次明細'!$G$58,$C92&lt;='班次明細'!$H$58,OR('班次明細'!$K$58=0,$C92&lt;='班次明細'!$I$58,$B92&gt;='班次明細'!$J$58)),1,0)+IF(AND('班次明細'!$L$65&gt;0,$B92&gt;='班次明細'!$G$65,$C92&lt;='班次明細'!$H$65,OR('班次明細'!$K$65=0,$C92&lt;='班次明細'!$I$65,$B92&gt;='班次明細'!$J$65)),1,0)+IF(AND('班次明細'!$L$72&gt;0,$B92&gt;='班次明細'!$G$72,$C92&lt;='班次明細'!$H$72,OR('班次明細'!$K$72=0,$C92&lt;='班次明細'!$I$72,$B92&gt;='班次明細'!$J$72)),1,0)+IF(AND('班次明細'!$L$79&gt;0,$B92&gt;='班次明細'!$G$79,$C92&lt;='班次明細'!$H$79,OR('班次明細'!$K$79=0,$C92&lt;='班次明細'!$I$79,$B92&gt;='班次明細'!$J$79)),1,0)</x:f>
        <x:v>3</x:v>
      </x:c>
      <x:c r="H92" s="2" t="n">
        <x:f>MAX(0,E92-G92)</x:f>
        <x:v>0</x:v>
      </x:c>
      <x:c r="I92" s="2" t="n">
        <x:f>IF(F92="",0,MAX(0,G92-F92))</x:f>
        <x:v>0</x:v>
      </x:c>
      <x:c r="J92" s="2" t="n">
        <x:v>0</x:v>
      </x:c>
      <x:c r="K92" s="11" t="str"/>
      <x:c r="L92" s="11" t="str">
        <x:f>IF(OR(H92&gt;0,J92&gt;0),"營運參考／主管現場協調",IF(I92&gt;0,"營運參考／主管現場協調","本段人力足夠"))</x:f>
        <x:v>本段人力足夠</x:v>
      </x:c>
    </x:row>
    <x:row r="93" ht="42" customHeight="1">
      <x:c r="A93" s="12" t="n">
        <x:v>46282</x:v>
      </x:c>
      <x:c r="B93" s="13" t="n">
        <x:v>0.7291666666666666</x:v>
      </x:c>
      <x:c r="C93" s="13" t="n">
        <x:v>0.75</x:v>
      </x:c>
      <x:c r="D93" s="2" t="str">
        <x:v>平日晚峰</x:v>
      </x:c>
      <x:c r="E93" s="2" t="n">
        <x:v>5</x:v>
      </x:c>
      <x:c r="F93" s="2" t="n">
        <x:v>5</x:v>
      </x:c>
      <x:c r="G93" s="2" t="n">
        <x:f>IF(AND('班次明細'!$L$9&gt;0,$B93&gt;='班次明細'!$G$9,$C93&lt;='班次明細'!$H$9,OR('班次明細'!$K$9=0,$C93&lt;='班次明細'!$I$9,$B93&gt;='班次明細'!$J$9)),1,0)+IF(AND('班次明細'!$L$16&gt;0,$B93&gt;='班次明細'!$G$16,$C93&lt;='班次明細'!$H$16,OR('班次明細'!$K$16=0,$C93&lt;='班次明細'!$I$16,$B93&gt;='班次明細'!$J$16)),1,0)+IF(AND('班次明細'!$L$23&gt;0,$B93&gt;='班次明細'!$G$23,$C93&lt;='班次明細'!$H$23,OR('班次明細'!$K$23=0,$C93&lt;='班次明細'!$I$23,$B93&gt;='班次明細'!$J$23)),1,0)+IF(AND('班次明細'!$L$30&gt;0,$B93&gt;='班次明細'!$G$30,$C93&lt;='班次明細'!$H$30,OR('班次明細'!$K$30=0,$C93&lt;='班次明細'!$I$30,$B93&gt;='班次明細'!$J$30)),1,0)+IF(AND('班次明細'!$L$37&gt;0,$B93&gt;='班次明細'!$G$37,$C93&lt;='班次明細'!$H$37,OR('班次明細'!$K$37=0,$C93&lt;='班次明細'!$I$37,$B93&gt;='班次明細'!$J$37)),1,0)+IF(AND('班次明細'!$L$44&gt;0,$B93&gt;='班次明細'!$G$44,$C93&lt;='班次明細'!$H$44,OR('班次明細'!$K$44=0,$C93&lt;='班次明細'!$I$44,$B93&gt;='班次明細'!$J$44)),1,0)+IF(AND('班次明細'!$L$51&gt;0,$B93&gt;='班次明細'!$G$51,$C93&lt;='班次明細'!$H$51,OR('班次明細'!$K$51=0,$C93&lt;='班次明細'!$I$51,$B93&gt;='班次明細'!$J$51)),1,0)+IF(AND('班次明細'!$L$58&gt;0,$B93&gt;='班次明細'!$G$58,$C93&lt;='班次明細'!$H$58,OR('班次明細'!$K$58=0,$C93&lt;='班次明細'!$I$58,$B93&gt;='班次明細'!$J$58)),1,0)+IF(AND('班次明細'!$L$65&gt;0,$B93&gt;='班次明細'!$G$65,$C93&lt;='班次明細'!$H$65,OR('班次明細'!$K$65=0,$C93&lt;='班次明細'!$I$65,$B93&gt;='班次明細'!$J$65)),1,0)+IF(AND('班次明細'!$L$72&gt;0,$B93&gt;='班次明細'!$G$72,$C93&lt;='班次明細'!$H$72,OR('班次明細'!$K$72=0,$C93&lt;='班次明細'!$I$72,$B93&gt;='班次明細'!$J$72)),1,0)+IF(AND('班次明細'!$L$79&gt;0,$B93&gt;='班次明細'!$G$79,$C93&lt;='班次明細'!$H$79,OR('班次明細'!$K$79=0,$C93&lt;='班次明細'!$I$79,$B93&gt;='班次明細'!$J$79)),1,0)</x:f>
        <x:v>4</x:v>
      </x:c>
      <x:c r="H93" s="2" t="n">
        <x:f>MAX(0,E93-G93)</x:f>
        <x:v>1</x:v>
      </x:c>
      <x:c r="I93" s="2" t="n">
        <x:f>IF(F93="",0,MAX(0,G93-F93))</x:f>
        <x:v>0</x:v>
      </x:c>
      <x:c r="J93" s="2" t="n">
        <x:v>1</x:v>
      </x:c>
      <x:c r="K93" s="11" t="str">
        <x:v>炸區</x:v>
      </x:c>
      <x:c r="L93" s="11" t="str">
        <x:f>IF(OR(H93&gt;0,J93&gt;0),"營運參考／主管現場協調",IF(I93&gt;0,"營運參考／主管現場協調","本段人力足夠"))</x:f>
        <x:v>營運參考／主管現場協調</x:v>
      </x:c>
    </x:row>
    <x:row r="94" ht="42" customHeight="1">
      <x:c r="A94" s="12" t="n">
        <x:v>46282</x:v>
      </x:c>
      <x:c r="B94" s="13" t="n">
        <x:v>0.75</x:v>
      </x:c>
      <x:c r="C94" s="13" t="n">
        <x:v>0.7708333333333334</x:v>
      </x:c>
      <x:c r="D94" s="2" t="str">
        <x:v>平日晚峰</x:v>
      </x:c>
      <x:c r="E94" s="2" t="n">
        <x:v>5</x:v>
      </x:c>
      <x:c r="F94" s="2" t="n">
        <x:v>5</x:v>
      </x:c>
      <x:c r="G94" s="2" t="n">
        <x:f>IF(AND('班次明細'!$L$9&gt;0,$B94&gt;='班次明細'!$G$9,$C94&lt;='班次明細'!$H$9,OR('班次明細'!$K$9=0,$C94&lt;='班次明細'!$I$9,$B94&gt;='班次明細'!$J$9)),1,0)+IF(AND('班次明細'!$L$16&gt;0,$B94&gt;='班次明細'!$G$16,$C94&lt;='班次明細'!$H$16,OR('班次明細'!$K$16=0,$C94&lt;='班次明細'!$I$16,$B94&gt;='班次明細'!$J$16)),1,0)+IF(AND('班次明細'!$L$23&gt;0,$B94&gt;='班次明細'!$G$23,$C94&lt;='班次明細'!$H$23,OR('班次明細'!$K$23=0,$C94&lt;='班次明細'!$I$23,$B94&gt;='班次明細'!$J$23)),1,0)+IF(AND('班次明細'!$L$30&gt;0,$B94&gt;='班次明細'!$G$30,$C94&lt;='班次明細'!$H$30,OR('班次明細'!$K$30=0,$C94&lt;='班次明細'!$I$30,$B94&gt;='班次明細'!$J$30)),1,0)+IF(AND('班次明細'!$L$37&gt;0,$B94&gt;='班次明細'!$G$37,$C94&lt;='班次明細'!$H$37,OR('班次明細'!$K$37=0,$C94&lt;='班次明細'!$I$37,$B94&gt;='班次明細'!$J$37)),1,0)+IF(AND('班次明細'!$L$44&gt;0,$B94&gt;='班次明細'!$G$44,$C94&lt;='班次明細'!$H$44,OR('班次明細'!$K$44=0,$C94&lt;='班次明細'!$I$44,$B94&gt;='班次明細'!$J$44)),1,0)+IF(AND('班次明細'!$L$51&gt;0,$B94&gt;='班次明細'!$G$51,$C94&lt;='班次明細'!$H$51,OR('班次明細'!$K$51=0,$C94&lt;='班次明細'!$I$51,$B94&gt;='班次明細'!$J$51)),1,0)+IF(AND('班次明細'!$L$58&gt;0,$B94&gt;='班次明細'!$G$58,$C94&lt;='班次明細'!$H$58,OR('班次明細'!$K$58=0,$C94&lt;='班次明細'!$I$58,$B94&gt;='班次明細'!$J$58)),1,0)+IF(AND('班次明細'!$L$65&gt;0,$B94&gt;='班次明細'!$G$65,$C94&lt;='班次明細'!$H$65,OR('班次明細'!$K$65=0,$C94&lt;='班次明細'!$I$65,$B94&gt;='班次明細'!$J$65)),1,0)+IF(AND('班次明細'!$L$72&gt;0,$B94&gt;='班次明細'!$G$72,$C94&lt;='班次明細'!$H$72,OR('班次明細'!$K$72=0,$C94&lt;='班次明細'!$I$72,$B94&gt;='班次明細'!$J$72)),1,0)+IF(AND('班次明細'!$L$79&gt;0,$B94&gt;='班次明細'!$G$79,$C94&lt;='班次明細'!$H$79,OR('班次明細'!$K$79=0,$C94&lt;='班次明細'!$I$79,$B94&gt;='班次明細'!$J$79)),1,0)</x:f>
        <x:v>5</x:v>
      </x:c>
      <x:c r="H94" s="2" t="n">
        <x:f>MAX(0,E94-G94)</x:f>
        <x:v>0</x:v>
      </x:c>
      <x:c r="I94" s="2" t="n">
        <x:f>IF(F94="",0,MAX(0,G94-F94))</x:f>
        <x:v>0</x:v>
      </x:c>
      <x:c r="J94" s="2" t="n">
        <x:v>0</x:v>
      </x:c>
      <x:c r="K94" s="11" t="str"/>
      <x:c r="L94" s="11" t="str">
        <x:f>IF(OR(H94&gt;0,J94&gt;0),"營運參考／主管現場協調",IF(I94&gt;0,"營運參考／主管現場協調","本段人力足夠"))</x:f>
        <x:v>本段人力足夠</x:v>
      </x:c>
    </x:row>
    <x:row r="95" ht="42" customHeight="1">
      <x:c r="A95" s="12" t="n">
        <x:v>46282</x:v>
      </x:c>
      <x:c r="B95" s="13" t="n">
        <x:v>0.7708333333333334</x:v>
      </x:c>
      <x:c r="C95" s="13" t="n">
        <x:v>0.7916666666666666</x:v>
      </x:c>
      <x:c r="D95" s="2" t="str">
        <x:v>平日晚峰</x:v>
      </x:c>
      <x:c r="E95" s="2" t="n">
        <x:v>5</x:v>
      </x:c>
      <x:c r="F95" s="2" t="n">
        <x:v>5</x:v>
      </x:c>
      <x:c r="G95" s="2" t="n">
        <x:f>IF(AND('班次明細'!$L$9&gt;0,$B95&gt;='班次明細'!$G$9,$C95&lt;='班次明細'!$H$9,OR('班次明細'!$K$9=0,$C95&lt;='班次明細'!$I$9,$B95&gt;='班次明細'!$J$9)),1,0)+IF(AND('班次明細'!$L$16&gt;0,$B95&gt;='班次明細'!$G$16,$C95&lt;='班次明細'!$H$16,OR('班次明細'!$K$16=0,$C95&lt;='班次明細'!$I$16,$B95&gt;='班次明細'!$J$16)),1,0)+IF(AND('班次明細'!$L$23&gt;0,$B95&gt;='班次明細'!$G$23,$C95&lt;='班次明細'!$H$23,OR('班次明細'!$K$23=0,$C95&lt;='班次明細'!$I$23,$B95&gt;='班次明細'!$J$23)),1,0)+IF(AND('班次明細'!$L$30&gt;0,$B95&gt;='班次明細'!$G$30,$C95&lt;='班次明細'!$H$30,OR('班次明細'!$K$30=0,$C95&lt;='班次明細'!$I$30,$B95&gt;='班次明細'!$J$30)),1,0)+IF(AND('班次明細'!$L$37&gt;0,$B95&gt;='班次明細'!$G$37,$C95&lt;='班次明細'!$H$37,OR('班次明細'!$K$37=0,$C95&lt;='班次明細'!$I$37,$B95&gt;='班次明細'!$J$37)),1,0)+IF(AND('班次明細'!$L$44&gt;0,$B95&gt;='班次明細'!$G$44,$C95&lt;='班次明細'!$H$44,OR('班次明細'!$K$44=0,$C95&lt;='班次明細'!$I$44,$B95&gt;='班次明細'!$J$44)),1,0)+IF(AND('班次明細'!$L$51&gt;0,$B95&gt;='班次明細'!$G$51,$C95&lt;='班次明細'!$H$51,OR('班次明細'!$K$51=0,$C95&lt;='班次明細'!$I$51,$B95&gt;='班次明細'!$J$51)),1,0)+IF(AND('班次明細'!$L$58&gt;0,$B95&gt;='班次明細'!$G$58,$C95&lt;='班次明細'!$H$58,OR('班次明細'!$K$58=0,$C95&lt;='班次明細'!$I$58,$B95&gt;='班次明細'!$J$58)),1,0)+IF(AND('班次明細'!$L$65&gt;0,$B95&gt;='班次明細'!$G$65,$C95&lt;='班次明細'!$H$65,OR('班次明細'!$K$65=0,$C95&lt;='班次明細'!$I$65,$B95&gt;='班次明細'!$J$65)),1,0)+IF(AND('班次明細'!$L$72&gt;0,$B95&gt;='班次明細'!$G$72,$C95&lt;='班次明細'!$H$72,OR('班次明細'!$K$72=0,$C95&lt;='班次明細'!$I$72,$B95&gt;='班次明細'!$J$72)),1,0)+IF(AND('班次明細'!$L$79&gt;0,$B95&gt;='班次明細'!$G$79,$C95&lt;='班次明細'!$H$79,OR('班次明細'!$K$79=0,$C95&lt;='班次明細'!$I$79,$B95&gt;='班次明細'!$J$79)),1,0)</x:f>
        <x:v>5</x:v>
      </x:c>
      <x:c r="H95" s="2" t="n">
        <x:f>MAX(0,E95-G95)</x:f>
        <x:v>0</x:v>
      </x:c>
      <x:c r="I95" s="2" t="n">
        <x:f>IF(F95="",0,MAX(0,G95-F95))</x:f>
        <x:v>0</x:v>
      </x:c>
      <x:c r="J95" s="2" t="n">
        <x:v>0</x:v>
      </x:c>
      <x:c r="K95" s="11" t="str"/>
      <x:c r="L95" s="11" t="str">
        <x:f>IF(OR(H95&gt;0,J95&gt;0),"營運參考／主管現場協調",IF(I95&gt;0,"營運參考／主管現場協調","本段人力足夠"))</x:f>
        <x:v>本段人力足夠</x:v>
      </x:c>
    </x:row>
    <x:row r="96" ht="42" customHeight="1">
      <x:c r="A96" s="12" t="n">
        <x:v>46282</x:v>
      </x:c>
      <x:c r="B96" s="13" t="n">
        <x:v>0.7916666666666666</x:v>
      </x:c>
      <x:c r="C96" s="13" t="n">
        <x:v>0.8125</x:v>
      </x:c>
      <x:c r="D96" s="2" t="str">
        <x:v>平日晚峰</x:v>
      </x:c>
      <x:c r="E96" s="2" t="n">
        <x:v>5</x:v>
      </x:c>
      <x:c r="F96" s="2" t="n">
        <x:v>5</x:v>
      </x:c>
      <x:c r="G96" s="2" t="n">
        <x:f>IF(AND('班次明細'!$L$9&gt;0,$B96&gt;='班次明細'!$G$9,$C96&lt;='班次明細'!$H$9,OR('班次明細'!$K$9=0,$C96&lt;='班次明細'!$I$9,$B96&gt;='班次明細'!$J$9)),1,0)+IF(AND('班次明細'!$L$16&gt;0,$B96&gt;='班次明細'!$G$16,$C96&lt;='班次明細'!$H$16,OR('班次明細'!$K$16=0,$C96&lt;='班次明細'!$I$16,$B96&gt;='班次明細'!$J$16)),1,0)+IF(AND('班次明細'!$L$23&gt;0,$B96&gt;='班次明細'!$G$23,$C96&lt;='班次明細'!$H$23,OR('班次明細'!$K$23=0,$C96&lt;='班次明細'!$I$23,$B96&gt;='班次明細'!$J$23)),1,0)+IF(AND('班次明細'!$L$30&gt;0,$B96&gt;='班次明細'!$G$30,$C96&lt;='班次明細'!$H$30,OR('班次明細'!$K$30=0,$C96&lt;='班次明細'!$I$30,$B96&gt;='班次明細'!$J$30)),1,0)+IF(AND('班次明細'!$L$37&gt;0,$B96&gt;='班次明細'!$G$37,$C96&lt;='班次明細'!$H$37,OR('班次明細'!$K$37=0,$C96&lt;='班次明細'!$I$37,$B96&gt;='班次明細'!$J$37)),1,0)+IF(AND('班次明細'!$L$44&gt;0,$B96&gt;='班次明細'!$G$44,$C96&lt;='班次明細'!$H$44,OR('班次明細'!$K$44=0,$C96&lt;='班次明細'!$I$44,$B96&gt;='班次明細'!$J$44)),1,0)+IF(AND('班次明細'!$L$51&gt;0,$B96&gt;='班次明細'!$G$51,$C96&lt;='班次明細'!$H$51,OR('班次明細'!$K$51=0,$C96&lt;='班次明細'!$I$51,$B96&gt;='班次明細'!$J$51)),1,0)+IF(AND('班次明細'!$L$58&gt;0,$B96&gt;='班次明細'!$G$58,$C96&lt;='班次明細'!$H$58,OR('班次明細'!$K$58=0,$C96&lt;='班次明細'!$I$58,$B96&gt;='班次明細'!$J$58)),1,0)+IF(AND('班次明細'!$L$65&gt;0,$B96&gt;='班次明細'!$G$65,$C96&lt;='班次明細'!$H$65,OR('班次明細'!$K$65=0,$C96&lt;='班次明細'!$I$65,$B96&gt;='班次明細'!$J$65)),1,0)+IF(AND('班次明細'!$L$72&gt;0,$B96&gt;='班次明細'!$G$72,$C96&lt;='班次明細'!$H$72,OR('班次明細'!$K$72=0,$C96&lt;='班次明細'!$I$72,$B96&gt;='班次明細'!$J$72)),1,0)+IF(AND('班次明細'!$L$79&gt;0,$B96&gt;='班次明細'!$G$79,$C96&lt;='班次明細'!$H$79,OR('班次明細'!$K$79=0,$C96&lt;='班次明細'!$I$79,$B96&gt;='班次明細'!$J$79)),1,0)</x:f>
        <x:v>5</x:v>
      </x:c>
      <x:c r="H96" s="2" t="n">
        <x:f>MAX(0,E96-G96)</x:f>
        <x:v>0</x:v>
      </x:c>
      <x:c r="I96" s="2" t="n">
        <x:f>IF(F96="",0,MAX(0,G96-F96))</x:f>
        <x:v>0</x:v>
      </x:c>
      <x:c r="J96" s="2" t="n">
        <x:v>0</x:v>
      </x:c>
      <x:c r="K96" s="11" t="str"/>
      <x:c r="L96" s="11" t="str">
        <x:f>IF(OR(H96&gt;0,J96&gt;0),"營運參考／主管現場協調",IF(I96&gt;0,"營運參考／主管現場協調","本段人力足夠"))</x:f>
        <x:v>本段人力足夠</x:v>
      </x:c>
    </x:row>
    <x:row r="97" ht="42" customHeight="1">
      <x:c r="A97" s="12" t="n">
        <x:v>46282</x:v>
      </x:c>
      <x:c r="B97" s="13" t="n">
        <x:v>0.8125</x:v>
      </x:c>
      <x:c r="C97" s="13" t="n">
        <x:v>0.8333333333333334</x:v>
      </x:c>
      <x:c r="D97" s="2" t="str">
        <x:v>平日離峰</x:v>
      </x:c>
      <x:c r="E97" s="2" t="n">
        <x:v>2</x:v>
      </x:c>
      <x:c r="F97" s="2"/>
      <x:c r="G97" s="2" t="n">
        <x:f>IF(AND('班次明細'!$L$9&gt;0,$B97&gt;='班次明細'!$G$9,$C97&lt;='班次明細'!$H$9,OR('班次明細'!$K$9=0,$C97&lt;='班次明細'!$I$9,$B97&gt;='班次明細'!$J$9)),1,0)+IF(AND('班次明細'!$L$16&gt;0,$B97&gt;='班次明細'!$G$16,$C97&lt;='班次明細'!$H$16,OR('班次明細'!$K$16=0,$C97&lt;='班次明細'!$I$16,$B97&gt;='班次明細'!$J$16)),1,0)+IF(AND('班次明細'!$L$23&gt;0,$B97&gt;='班次明細'!$G$23,$C97&lt;='班次明細'!$H$23,OR('班次明細'!$K$23=0,$C97&lt;='班次明細'!$I$23,$B97&gt;='班次明細'!$J$23)),1,0)+IF(AND('班次明細'!$L$30&gt;0,$B97&gt;='班次明細'!$G$30,$C97&lt;='班次明細'!$H$30,OR('班次明細'!$K$30=0,$C97&lt;='班次明細'!$I$30,$B97&gt;='班次明細'!$J$30)),1,0)+IF(AND('班次明細'!$L$37&gt;0,$B97&gt;='班次明細'!$G$37,$C97&lt;='班次明細'!$H$37,OR('班次明細'!$K$37=0,$C97&lt;='班次明細'!$I$37,$B97&gt;='班次明細'!$J$37)),1,0)+IF(AND('班次明細'!$L$44&gt;0,$B97&gt;='班次明細'!$G$44,$C97&lt;='班次明細'!$H$44,OR('班次明細'!$K$44=0,$C97&lt;='班次明細'!$I$44,$B97&gt;='班次明細'!$J$44)),1,0)+IF(AND('班次明細'!$L$51&gt;0,$B97&gt;='班次明細'!$G$51,$C97&lt;='班次明細'!$H$51,OR('班次明細'!$K$51=0,$C97&lt;='班次明細'!$I$51,$B97&gt;='班次明細'!$J$51)),1,0)+IF(AND('班次明細'!$L$58&gt;0,$B97&gt;='班次明細'!$G$58,$C97&lt;='班次明細'!$H$58,OR('班次明細'!$K$58=0,$C97&lt;='班次明細'!$I$58,$B97&gt;='班次明細'!$J$58)),1,0)+IF(AND('班次明細'!$L$65&gt;0,$B97&gt;='班次明細'!$G$65,$C97&lt;='班次明細'!$H$65,OR('班次明細'!$K$65=0,$C97&lt;='班次明細'!$I$65,$B97&gt;='班次明細'!$J$65)),1,0)+IF(AND('班次明細'!$L$72&gt;0,$B97&gt;='班次明細'!$G$72,$C97&lt;='班次明細'!$H$72,OR('班次明細'!$K$72=0,$C97&lt;='班次明細'!$I$72,$B97&gt;='班次明細'!$J$72)),1,0)+IF(AND('班次明細'!$L$79&gt;0,$B97&gt;='班次明細'!$G$79,$C97&lt;='班次明細'!$H$79,OR('班次明細'!$K$79=0,$C97&lt;='班次明細'!$I$79,$B97&gt;='班次明細'!$J$79)),1,0)</x:f>
        <x:v>5</x:v>
      </x:c>
      <x:c r="H97" s="2" t="n">
        <x:f>MAX(0,E97-G97)</x:f>
        <x:v>0</x:v>
      </x:c>
      <x:c r="I97" s="2" t="n">
        <x:f>IF(F97="",0,MAX(0,G97-F97))</x:f>
        <x:v>0</x:v>
      </x:c>
      <x:c r="J97" s="2" t="n">
        <x:v>0</x:v>
      </x:c>
      <x:c r="K97" s="11" t="str"/>
      <x:c r="L97" s="11" t="str">
        <x:f>IF(OR(H97&gt;0,J97&gt;0),"營運參考／主管現場協調",IF(I97&gt;0,"營運參考／主管現場協調","本段人力足夠"))</x:f>
        <x:v>本段人力足夠</x:v>
      </x:c>
    </x:row>
    <x:row r="98" ht="42" customHeight="1">
      <x:c r="A98" s="12" t="n">
        <x:v>46282</x:v>
      </x:c>
      <x:c r="B98" s="13" t="n">
        <x:v>0.8333333333333334</x:v>
      </x:c>
      <x:c r="C98" s="13" t="n">
        <x:v>0.8541666666666666</x:v>
      </x:c>
      <x:c r="D98" s="2" t="str">
        <x:v>平日收店20</x:v>
      </x:c>
      <x:c r="E98" s="2" t="n">
        <x:v>5</x:v>
      </x:c>
      <x:c r="F98" s="2"/>
      <x:c r="G98" s="2" t="n">
        <x:f>IF(AND('班次明細'!$L$9&gt;0,$B98&gt;='班次明細'!$G$9,$C98&lt;='班次明細'!$H$9,OR('班次明細'!$K$9=0,$C98&lt;='班次明細'!$I$9,$B98&gt;='班次明細'!$J$9)),1,0)+IF(AND('班次明細'!$L$16&gt;0,$B98&gt;='班次明細'!$G$16,$C98&lt;='班次明細'!$H$16,OR('班次明細'!$K$16=0,$C98&lt;='班次明細'!$I$16,$B98&gt;='班次明細'!$J$16)),1,0)+IF(AND('班次明細'!$L$23&gt;0,$B98&gt;='班次明細'!$G$23,$C98&lt;='班次明細'!$H$23,OR('班次明細'!$K$23=0,$C98&lt;='班次明細'!$I$23,$B98&gt;='班次明細'!$J$23)),1,0)+IF(AND('班次明細'!$L$30&gt;0,$B98&gt;='班次明細'!$G$30,$C98&lt;='班次明細'!$H$30,OR('班次明細'!$K$30=0,$C98&lt;='班次明細'!$I$30,$B98&gt;='班次明細'!$J$30)),1,0)+IF(AND('班次明細'!$L$37&gt;0,$B98&gt;='班次明細'!$G$37,$C98&lt;='班次明細'!$H$37,OR('班次明細'!$K$37=0,$C98&lt;='班次明細'!$I$37,$B98&gt;='班次明細'!$J$37)),1,0)+IF(AND('班次明細'!$L$44&gt;0,$B98&gt;='班次明細'!$G$44,$C98&lt;='班次明細'!$H$44,OR('班次明細'!$K$44=0,$C98&lt;='班次明細'!$I$44,$B98&gt;='班次明細'!$J$44)),1,0)+IF(AND('班次明細'!$L$51&gt;0,$B98&gt;='班次明細'!$G$51,$C98&lt;='班次明細'!$H$51,OR('班次明細'!$K$51=0,$C98&lt;='班次明細'!$I$51,$B98&gt;='班次明細'!$J$51)),1,0)+IF(AND('班次明細'!$L$58&gt;0,$B98&gt;='班次明細'!$G$58,$C98&lt;='班次明細'!$H$58,OR('班次明細'!$K$58=0,$C98&lt;='班次明細'!$I$58,$B98&gt;='班次明細'!$J$58)),1,0)+IF(AND('班次明細'!$L$65&gt;0,$B98&gt;='班次明細'!$G$65,$C98&lt;='班次明細'!$H$65,OR('班次明細'!$K$65=0,$C98&lt;='班次明細'!$I$65,$B98&gt;='班次明細'!$J$65)),1,0)+IF(AND('班次明細'!$L$72&gt;0,$B98&gt;='班次明細'!$G$72,$C98&lt;='班次明細'!$H$72,OR('班次明細'!$K$72=0,$C98&lt;='班次明細'!$I$72,$B98&gt;='班次明細'!$J$72)),1,0)+IF(AND('班次明細'!$L$79&gt;0,$B98&gt;='班次明細'!$G$79,$C98&lt;='班次明細'!$H$79,OR('班次明細'!$K$79=0,$C98&lt;='班次明細'!$I$79,$B98&gt;='班次明細'!$J$79)),1,0)</x:f>
        <x:v>5</x:v>
      </x:c>
      <x:c r="H98" s="2" t="n">
        <x:f>MAX(0,E98-G98)</x:f>
        <x:v>0</x:v>
      </x:c>
      <x:c r="I98" s="2" t="n">
        <x:f>IF(F98="",0,MAX(0,G98-F98))</x:f>
        <x:v>0</x:v>
      </x:c>
      <x:c r="J98" s="2" t="n">
        <x:v>0</x:v>
      </x:c>
      <x:c r="K98" s="11" t="str"/>
      <x:c r="L98" s="11" t="str">
        <x:f>IF(OR(H98&gt;0,J98&gt;0),"營運參考／主管現場協調；收店交接參考",IF(I98&gt;0,"營運參考／主管現場協調","人數足；收店交接參考"))</x:f>
        <x:v>人數足；收店交接參考</x:v>
      </x:c>
    </x:row>
    <x:row r="99" ht="42" customHeight="1">
      <x:c r="A99" s="12" t="n">
        <x:v>46282</x:v>
      </x:c>
      <x:c r="B99" s="13" t="n">
        <x:v>0.8541666666666666</x:v>
      </x:c>
      <x:c r="C99" s="13" t="n">
        <x:v>0.875</x:v>
      </x:c>
      <x:c r="D99" s="2" t="str">
        <x:v>平日收店20</x:v>
      </x:c>
      <x:c r="E99" s="2" t="n">
        <x:v>5</x:v>
      </x:c>
      <x:c r="F99" s="2"/>
      <x:c r="G99" s="2" t="n">
        <x:f>IF(AND('班次明細'!$L$9&gt;0,$B99&gt;='班次明細'!$G$9,$C99&lt;='班次明細'!$H$9,OR('班次明細'!$K$9=0,$C99&lt;='班次明細'!$I$9,$B99&gt;='班次明細'!$J$9)),1,0)+IF(AND('班次明細'!$L$16&gt;0,$B99&gt;='班次明細'!$G$16,$C99&lt;='班次明細'!$H$16,OR('班次明細'!$K$16=0,$C99&lt;='班次明細'!$I$16,$B99&gt;='班次明細'!$J$16)),1,0)+IF(AND('班次明細'!$L$23&gt;0,$B99&gt;='班次明細'!$G$23,$C99&lt;='班次明細'!$H$23,OR('班次明細'!$K$23=0,$C99&lt;='班次明細'!$I$23,$B99&gt;='班次明細'!$J$23)),1,0)+IF(AND('班次明細'!$L$30&gt;0,$B99&gt;='班次明細'!$G$30,$C99&lt;='班次明細'!$H$30,OR('班次明細'!$K$30=0,$C99&lt;='班次明細'!$I$30,$B99&gt;='班次明細'!$J$30)),1,0)+IF(AND('班次明細'!$L$37&gt;0,$B99&gt;='班次明細'!$G$37,$C99&lt;='班次明細'!$H$37,OR('班次明細'!$K$37=0,$C99&lt;='班次明細'!$I$37,$B99&gt;='班次明細'!$J$37)),1,0)+IF(AND('班次明細'!$L$44&gt;0,$B99&gt;='班次明細'!$G$44,$C99&lt;='班次明細'!$H$44,OR('班次明細'!$K$44=0,$C99&lt;='班次明細'!$I$44,$B99&gt;='班次明細'!$J$44)),1,0)+IF(AND('班次明細'!$L$51&gt;0,$B99&gt;='班次明細'!$G$51,$C99&lt;='班次明細'!$H$51,OR('班次明細'!$K$51=0,$C99&lt;='班次明細'!$I$51,$B99&gt;='班次明細'!$J$51)),1,0)+IF(AND('班次明細'!$L$58&gt;0,$B99&gt;='班次明細'!$G$58,$C99&lt;='班次明細'!$H$58,OR('班次明細'!$K$58=0,$C99&lt;='班次明細'!$I$58,$B99&gt;='班次明細'!$J$58)),1,0)+IF(AND('班次明細'!$L$65&gt;0,$B99&gt;='班次明細'!$G$65,$C99&lt;='班次明細'!$H$65,OR('班次明細'!$K$65=0,$C99&lt;='班次明細'!$I$65,$B99&gt;='班次明細'!$J$65)),1,0)+IF(AND('班次明細'!$L$72&gt;0,$B99&gt;='班次明細'!$G$72,$C99&lt;='班次明細'!$H$72,OR('班次明細'!$K$72=0,$C99&lt;='班次明細'!$I$72,$B99&gt;='班次明細'!$J$72)),1,0)+IF(AND('班次明細'!$L$79&gt;0,$B99&gt;='班次明細'!$G$79,$C99&lt;='班次明細'!$H$79,OR('班次明細'!$K$79=0,$C99&lt;='班次明細'!$I$79,$B99&gt;='班次明細'!$J$79)),1,0)</x:f>
        <x:v>5</x:v>
      </x:c>
      <x:c r="H99" s="2" t="n">
        <x:f>MAX(0,E99-G99)</x:f>
        <x:v>0</x:v>
      </x:c>
      <x:c r="I99" s="2" t="n">
        <x:f>IF(F99="",0,MAX(0,G99-F99))</x:f>
        <x:v>0</x:v>
      </x:c>
      <x:c r="J99" s="2" t="n">
        <x:v>0</x:v>
      </x:c>
      <x:c r="K99" s="11" t="str"/>
      <x:c r="L99" s="11" t="str">
        <x:f>IF(OR(H99&gt;0,J99&gt;0),"營運參考／主管現場協調；收店交接參考",IF(I99&gt;0,"營運參考／主管現場協調","人數足；收店交接參考"))</x:f>
        <x:v>人數足；收店交接參考</x:v>
      </x:c>
    </x:row>
    <x:row r="100" ht="42" customHeight="1">
      <x:c r="A100" s="12" t="n">
        <x:v>46282</x:v>
      </x:c>
      <x:c r="B100" s="13" t="n">
        <x:v>0.875</x:v>
      </x:c>
      <x:c r="C100" s="13" t="n">
        <x:v>0.8958333333333334</x:v>
      </x:c>
      <x:c r="D100" s="2" t="str">
        <x:v>平日收店21</x:v>
      </x:c>
      <x:c r="E100" s="2" t="n">
        <x:v>4</x:v>
      </x:c>
      <x:c r="F100" s="2"/>
      <x:c r="G100" s="2" t="n">
        <x:f>IF(AND('班次明細'!$L$9&gt;0,$B100&gt;='班次明細'!$G$9,$C100&lt;='班次明細'!$H$9,OR('班次明細'!$K$9=0,$C100&lt;='班次明細'!$I$9,$B100&gt;='班次明細'!$J$9)),1,0)+IF(AND('班次明細'!$L$16&gt;0,$B100&gt;='班次明細'!$G$16,$C100&lt;='班次明細'!$H$16,OR('班次明細'!$K$16=0,$C100&lt;='班次明細'!$I$16,$B100&gt;='班次明細'!$J$16)),1,0)+IF(AND('班次明細'!$L$23&gt;0,$B100&gt;='班次明細'!$G$23,$C100&lt;='班次明細'!$H$23,OR('班次明細'!$K$23=0,$C100&lt;='班次明細'!$I$23,$B100&gt;='班次明細'!$J$23)),1,0)+IF(AND('班次明細'!$L$30&gt;0,$B100&gt;='班次明細'!$G$30,$C100&lt;='班次明細'!$H$30,OR('班次明細'!$K$30=0,$C100&lt;='班次明細'!$I$30,$B100&gt;='班次明細'!$J$30)),1,0)+IF(AND('班次明細'!$L$37&gt;0,$B100&gt;='班次明細'!$G$37,$C100&lt;='班次明細'!$H$37,OR('班次明細'!$K$37=0,$C100&lt;='班次明細'!$I$37,$B100&gt;='班次明細'!$J$37)),1,0)+IF(AND('班次明細'!$L$44&gt;0,$B100&gt;='班次明細'!$G$44,$C100&lt;='班次明細'!$H$44,OR('班次明細'!$K$44=0,$C100&lt;='班次明細'!$I$44,$B100&gt;='班次明細'!$J$44)),1,0)+IF(AND('班次明細'!$L$51&gt;0,$B100&gt;='班次明細'!$G$51,$C100&lt;='班次明細'!$H$51,OR('班次明細'!$K$51=0,$C100&lt;='班次明細'!$I$51,$B100&gt;='班次明細'!$J$51)),1,0)+IF(AND('班次明細'!$L$58&gt;0,$B100&gt;='班次明細'!$G$58,$C100&lt;='班次明細'!$H$58,OR('班次明細'!$K$58=0,$C100&lt;='班次明細'!$I$58,$B100&gt;='班次明細'!$J$58)),1,0)+IF(AND('班次明細'!$L$65&gt;0,$B100&gt;='班次明細'!$G$65,$C100&lt;='班次明細'!$H$65,OR('班次明細'!$K$65=0,$C100&lt;='班次明細'!$I$65,$B100&gt;='班次明細'!$J$65)),1,0)+IF(AND('班次明細'!$L$72&gt;0,$B100&gt;='班次明細'!$G$72,$C100&lt;='班次明細'!$H$72,OR('班次明細'!$K$72=0,$C100&lt;='班次明細'!$I$72,$B100&gt;='班次明細'!$J$72)),1,0)+IF(AND('班次明細'!$L$79&gt;0,$B100&gt;='班次明細'!$G$79,$C100&lt;='班次明細'!$H$79,OR('班次明細'!$K$79=0,$C100&lt;='班次明細'!$I$79,$B100&gt;='班次明細'!$J$79)),1,0)</x:f>
        <x:v>4</x:v>
      </x:c>
      <x:c r="H100" s="2" t="n">
        <x:f>MAX(0,E100-G100)</x:f>
        <x:v>0</x:v>
      </x:c>
      <x:c r="I100" s="2" t="n">
        <x:f>IF(F100="",0,MAX(0,G100-F100))</x:f>
        <x:v>0</x:v>
      </x:c>
      <x:c r="J100" s="2" t="n">
        <x:v>0</x:v>
      </x:c>
      <x:c r="K100" s="11" t="str"/>
      <x:c r="L100" s="11" t="str">
        <x:f>IF(OR(H100&gt;0,J100&gt;0),"營運參考／主管現場協調；收店交接參考",IF(I100&gt;0,"營運參考／主管現場協調","人數足；收店交接參考"))</x:f>
        <x:v>人數足；收店交接參考</x:v>
      </x:c>
    </x:row>
    <x:row r="101" ht="42" customHeight="1">
      <x:c r="A101" s="12" t="n">
        <x:v>46282</x:v>
      </x:c>
      <x:c r="B101" s="13" t="n">
        <x:v>0.8958333333333334</x:v>
      </x:c>
      <x:c r="C101" s="13" t="n">
        <x:v>0.9166666666666666</x:v>
      </x:c>
      <x:c r="D101" s="2" t="str">
        <x:v>已結束</x:v>
      </x:c>
      <x:c r="E101" s="2" t="n">
        <x:v>0</x:v>
      </x:c>
      <x:c r="F101" s="2"/>
      <x:c r="G101" s="2" t="n">
        <x:f>IF(AND('班次明細'!$L$9&gt;0,$B101&gt;='班次明細'!$G$9,$C101&lt;='班次明細'!$H$9,OR('班次明細'!$K$9=0,$C101&lt;='班次明細'!$I$9,$B101&gt;='班次明細'!$J$9)),1,0)+IF(AND('班次明細'!$L$16&gt;0,$B101&gt;='班次明細'!$G$16,$C101&lt;='班次明細'!$H$16,OR('班次明細'!$K$16=0,$C101&lt;='班次明細'!$I$16,$B101&gt;='班次明細'!$J$16)),1,0)+IF(AND('班次明細'!$L$23&gt;0,$B101&gt;='班次明細'!$G$23,$C101&lt;='班次明細'!$H$23,OR('班次明細'!$K$23=0,$C101&lt;='班次明細'!$I$23,$B101&gt;='班次明細'!$J$23)),1,0)+IF(AND('班次明細'!$L$30&gt;0,$B101&gt;='班次明細'!$G$30,$C101&lt;='班次明細'!$H$30,OR('班次明細'!$K$30=0,$C101&lt;='班次明細'!$I$30,$B101&gt;='班次明細'!$J$30)),1,0)+IF(AND('班次明細'!$L$37&gt;0,$B101&gt;='班次明細'!$G$37,$C101&lt;='班次明細'!$H$37,OR('班次明細'!$K$37=0,$C101&lt;='班次明細'!$I$37,$B101&gt;='班次明細'!$J$37)),1,0)+IF(AND('班次明細'!$L$44&gt;0,$B101&gt;='班次明細'!$G$44,$C101&lt;='班次明細'!$H$44,OR('班次明細'!$K$44=0,$C101&lt;='班次明細'!$I$44,$B101&gt;='班次明細'!$J$44)),1,0)+IF(AND('班次明細'!$L$51&gt;0,$B101&gt;='班次明細'!$G$51,$C101&lt;='班次明細'!$H$51,OR('班次明細'!$K$51=0,$C101&lt;='班次明細'!$I$51,$B101&gt;='班次明細'!$J$51)),1,0)+IF(AND('班次明細'!$L$58&gt;0,$B101&gt;='班次明細'!$G$58,$C101&lt;='班次明細'!$H$58,OR('班次明細'!$K$58=0,$C101&lt;='班次明細'!$I$58,$B101&gt;='班次明細'!$J$58)),1,0)+IF(AND('班次明細'!$L$65&gt;0,$B101&gt;='班次明細'!$G$65,$C101&lt;='班次明細'!$H$65,OR('班次明細'!$K$65=0,$C101&lt;='班次明細'!$I$65,$B101&gt;='班次明細'!$J$65)),1,0)+IF(AND('班次明細'!$L$72&gt;0,$B101&gt;='班次明細'!$G$72,$C101&lt;='班次明細'!$H$72,OR('班次明細'!$K$72=0,$C101&lt;='班次明細'!$I$72,$B101&gt;='班次明細'!$J$72)),1,0)+IF(AND('班次明細'!$L$79&gt;0,$B101&gt;='班次明細'!$G$79,$C101&lt;='班次明細'!$H$79,OR('班次明細'!$K$79=0,$C101&lt;='班次明細'!$I$79,$B101&gt;='班次明細'!$J$79)),1,0)</x:f>
        <x:v>0</x:v>
      </x:c>
      <x:c r="H101" s="2" t="n">
        <x:f>MAX(0,E101-G101)</x:f>
        <x:v>0</x:v>
      </x:c>
      <x:c r="I101" s="2" t="n">
        <x:f>IF(F101="",0,MAX(0,G101-F101))</x:f>
        <x:v>0</x:v>
      </x:c>
      <x:c r="J101" s="2" t="n">
        <x:v>0</x:v>
      </x:c>
      <x:c r="K101" s="11" t="str"/>
      <x:c r="L101" s="11" t="str">
        <x:f>IF(OR(H101&gt;0,J101&gt;0),"營運參考／主管現場協調",IF(I101&gt;0,"營運參考／主管現場協調","無最低人力需求"))</x:f>
        <x:v>無最低人力需求</x:v>
      </x:c>
    </x:row>
    <x:row r="102" ht="42" customHeight="1">
      <x:c r="A102" s="12" t="n">
        <x:v>46283</x:v>
      </x:c>
      <x:c r="B102" s="13" t="n">
        <x:v>0.4166666666666667</x:v>
      </x:c>
      <x:c r="C102" s="13" t="n">
        <x:v>0.4375</x:v>
      </x:c>
      <x:c r="D102" s="2" t="str">
        <x:v>開店</x:v>
      </x:c>
      <x:c r="E102" s="2" t="n">
        <x:v>1</x:v>
      </x:c>
      <x:c r="F102" s="2" t="n">
        <x:v>1</x:v>
      </x:c>
      <x:c r="G102" s="2" t="n">
        <x:f>IF(AND('班次明細'!$L$10&gt;0,$B102&gt;='班次明細'!$G$10,$C102&lt;='班次明細'!$H$10,OR('班次明細'!$K$10=0,$C102&lt;='班次明細'!$I$10,$B102&gt;='班次明細'!$J$10)),1,0)+IF(AND('班次明細'!$L$17&gt;0,$B102&gt;='班次明細'!$G$17,$C102&lt;='班次明細'!$H$17,OR('班次明細'!$K$17=0,$C102&lt;='班次明細'!$I$17,$B102&gt;='班次明細'!$J$17)),1,0)+IF(AND('班次明細'!$L$24&gt;0,$B102&gt;='班次明細'!$G$24,$C102&lt;='班次明細'!$H$24,OR('班次明細'!$K$24=0,$C102&lt;='班次明細'!$I$24,$B102&gt;='班次明細'!$J$24)),1,0)+IF(AND('班次明細'!$L$31&gt;0,$B102&gt;='班次明細'!$G$31,$C102&lt;='班次明細'!$H$31,OR('班次明細'!$K$31=0,$C102&lt;='班次明細'!$I$31,$B102&gt;='班次明細'!$J$31)),1,0)+IF(AND('班次明細'!$L$38&gt;0,$B102&gt;='班次明細'!$G$38,$C102&lt;='班次明細'!$H$38,OR('班次明細'!$K$38=0,$C102&lt;='班次明細'!$I$38,$B102&gt;='班次明細'!$J$38)),1,0)+IF(AND('班次明細'!$L$45&gt;0,$B102&gt;='班次明細'!$G$45,$C102&lt;='班次明細'!$H$45,OR('班次明細'!$K$45=0,$C102&lt;='班次明細'!$I$45,$B102&gt;='班次明細'!$J$45)),1,0)+IF(AND('班次明細'!$L$52&gt;0,$B102&gt;='班次明細'!$G$52,$C102&lt;='班次明細'!$H$52,OR('班次明細'!$K$52=0,$C102&lt;='班次明細'!$I$52,$B102&gt;='班次明細'!$J$52)),1,0)+IF(AND('班次明細'!$L$59&gt;0,$B102&gt;='班次明細'!$G$59,$C102&lt;='班次明細'!$H$59,OR('班次明細'!$K$59=0,$C102&lt;='班次明細'!$I$59,$B102&gt;='班次明細'!$J$59)),1,0)+IF(AND('班次明細'!$L$66&gt;0,$B102&gt;='班次明細'!$G$66,$C102&lt;='班次明細'!$H$66,OR('班次明細'!$K$66=0,$C102&lt;='班次明細'!$I$66,$B102&gt;='班次明細'!$J$66)),1,0)+IF(AND('班次明細'!$L$73&gt;0,$B102&gt;='班次明細'!$G$73,$C102&lt;='班次明細'!$H$73,OR('班次明細'!$K$73=0,$C102&lt;='班次明細'!$I$73,$B102&gt;='班次明細'!$J$73)),1,0)+IF(AND('班次明細'!$L$80&gt;0,$B102&gt;='班次明細'!$G$80,$C102&lt;='班次明細'!$H$80,OR('班次明細'!$K$80=0,$C102&lt;='班次明細'!$I$80,$B102&gt;='班次明細'!$J$80)),1,0)</x:f>
        <x:v>1</x:v>
      </x:c>
      <x:c r="H102" s="2" t="n">
        <x:f>MAX(0,E102-G102)</x:f>
        <x:v>0</x:v>
      </x:c>
      <x:c r="I102" s="2" t="n">
        <x:f>IF(F102="",0,MAX(0,G102-F102))</x:f>
        <x:v>0</x:v>
      </x:c>
      <x:c r="J102" s="2" t="n">
        <x:v>0</x:v>
      </x:c>
      <x:c r="K102" s="11" t="str"/>
      <x:c r="L102" s="11" t="str">
        <x:f>IF(OR(H102&gt;0,J102&gt;0),"營運參考／主管現場協調",IF(I102&gt;0,"營運參考／主管現場協調","本段人力足夠"))</x:f>
        <x:v>本段人力足夠</x:v>
      </x:c>
    </x:row>
    <x:row r="103" ht="42" customHeight="1">
      <x:c r="A103" s="12" t="n">
        <x:v>46283</x:v>
      </x:c>
      <x:c r="B103" s="13" t="n">
        <x:v>0.4375</x:v>
      </x:c>
      <x:c r="C103" s="13" t="n">
        <x:v>0.4583333333333333</x:v>
      </x:c>
      <x:c r="D103" s="2" t="str">
        <x:v>開店</x:v>
      </x:c>
      <x:c r="E103" s="2" t="n">
        <x:v>1</x:v>
      </x:c>
      <x:c r="F103" s="2" t="n">
        <x:v>1</x:v>
      </x:c>
      <x:c r="G103" s="2" t="n">
        <x:f>IF(AND('班次明細'!$L$10&gt;0,$B103&gt;='班次明細'!$G$10,$C103&lt;='班次明細'!$H$10,OR('班次明細'!$K$10=0,$C103&lt;='班次明細'!$I$10,$B103&gt;='班次明細'!$J$10)),1,0)+IF(AND('班次明細'!$L$17&gt;0,$B103&gt;='班次明細'!$G$17,$C103&lt;='班次明細'!$H$17,OR('班次明細'!$K$17=0,$C103&lt;='班次明細'!$I$17,$B103&gt;='班次明細'!$J$17)),1,0)+IF(AND('班次明細'!$L$24&gt;0,$B103&gt;='班次明細'!$G$24,$C103&lt;='班次明細'!$H$24,OR('班次明細'!$K$24=0,$C103&lt;='班次明細'!$I$24,$B103&gt;='班次明細'!$J$24)),1,0)+IF(AND('班次明細'!$L$31&gt;0,$B103&gt;='班次明細'!$G$31,$C103&lt;='班次明細'!$H$31,OR('班次明細'!$K$31=0,$C103&lt;='班次明細'!$I$31,$B103&gt;='班次明細'!$J$31)),1,0)+IF(AND('班次明細'!$L$38&gt;0,$B103&gt;='班次明細'!$G$38,$C103&lt;='班次明細'!$H$38,OR('班次明細'!$K$38=0,$C103&lt;='班次明細'!$I$38,$B103&gt;='班次明細'!$J$38)),1,0)+IF(AND('班次明細'!$L$45&gt;0,$B103&gt;='班次明細'!$G$45,$C103&lt;='班次明細'!$H$45,OR('班次明細'!$K$45=0,$C103&lt;='班次明細'!$I$45,$B103&gt;='班次明細'!$J$45)),1,0)+IF(AND('班次明細'!$L$52&gt;0,$B103&gt;='班次明細'!$G$52,$C103&lt;='班次明細'!$H$52,OR('班次明細'!$K$52=0,$C103&lt;='班次明細'!$I$52,$B103&gt;='班次明細'!$J$52)),1,0)+IF(AND('班次明細'!$L$59&gt;0,$B103&gt;='班次明細'!$G$59,$C103&lt;='班次明細'!$H$59,OR('班次明細'!$K$59=0,$C103&lt;='班次明細'!$I$59,$B103&gt;='班次明細'!$J$59)),1,0)+IF(AND('班次明細'!$L$66&gt;0,$B103&gt;='班次明細'!$G$66,$C103&lt;='班次明細'!$H$66,OR('班次明細'!$K$66=0,$C103&lt;='班次明細'!$I$66,$B103&gt;='班次明細'!$J$66)),1,0)+IF(AND('班次明細'!$L$73&gt;0,$B103&gt;='班次明細'!$G$73,$C103&lt;='班次明細'!$H$73,OR('班次明細'!$K$73=0,$C103&lt;='班次明細'!$I$73,$B103&gt;='班次明細'!$J$73)),1,0)+IF(AND('班次明細'!$L$80&gt;0,$B103&gt;='班次明細'!$G$80,$C103&lt;='班次明細'!$H$80,OR('班次明細'!$K$80=0,$C103&lt;='班次明細'!$I$80,$B103&gt;='班次明細'!$J$80)),1,0)</x:f>
        <x:v>1</x:v>
      </x:c>
      <x:c r="H103" s="2" t="n">
        <x:f>MAX(0,E103-G103)</x:f>
        <x:v>0</x:v>
      </x:c>
      <x:c r="I103" s="2" t="n">
        <x:f>IF(F103="",0,MAX(0,G103-F103))</x:f>
        <x:v>0</x:v>
      </x:c>
      <x:c r="J103" s="2" t="n">
        <x:v>0</x:v>
      </x:c>
      <x:c r="K103" s="11" t="str"/>
      <x:c r="L103" s="11" t="str">
        <x:f>IF(OR(H103&gt;0,J103&gt;0),"營運參考／主管現場協調",IF(I103&gt;0,"營運參考／主管現場協調","本段人力足夠"))</x:f>
        <x:v>本段人力足夠</x:v>
      </x:c>
    </x:row>
    <x:row r="104" ht="42" customHeight="1">
      <x:c r="A104" s="12" t="n">
        <x:v>46283</x:v>
      </x:c>
      <x:c r="B104" s="13" t="n">
        <x:v>0.4583333333333333</x:v>
      </x:c>
      <x:c r="C104" s="13" t="n">
        <x:v>0.4791666666666667</x:v>
      </x:c>
      <x:c r="D104" s="2" t="str">
        <x:v>平日離峰</x:v>
      </x:c>
      <x:c r="E104" s="2" t="n">
        <x:v>2</x:v>
      </x:c>
      <x:c r="F104" s="2"/>
      <x:c r="G104" s="2" t="n">
        <x:f>IF(AND('班次明細'!$L$10&gt;0,$B104&gt;='班次明細'!$G$10,$C104&lt;='班次明細'!$H$10,OR('班次明細'!$K$10=0,$C104&lt;='班次明細'!$I$10,$B104&gt;='班次明細'!$J$10)),1,0)+IF(AND('班次明細'!$L$17&gt;0,$B104&gt;='班次明細'!$G$17,$C104&lt;='班次明細'!$H$17,OR('班次明細'!$K$17=0,$C104&lt;='班次明細'!$I$17,$B104&gt;='班次明細'!$J$17)),1,0)+IF(AND('班次明細'!$L$24&gt;0,$B104&gt;='班次明細'!$G$24,$C104&lt;='班次明細'!$H$24,OR('班次明細'!$K$24=0,$C104&lt;='班次明細'!$I$24,$B104&gt;='班次明細'!$J$24)),1,0)+IF(AND('班次明細'!$L$31&gt;0,$B104&gt;='班次明細'!$G$31,$C104&lt;='班次明細'!$H$31,OR('班次明細'!$K$31=0,$C104&lt;='班次明細'!$I$31,$B104&gt;='班次明細'!$J$31)),1,0)+IF(AND('班次明細'!$L$38&gt;0,$B104&gt;='班次明細'!$G$38,$C104&lt;='班次明細'!$H$38,OR('班次明細'!$K$38=0,$C104&lt;='班次明細'!$I$38,$B104&gt;='班次明細'!$J$38)),1,0)+IF(AND('班次明細'!$L$45&gt;0,$B104&gt;='班次明細'!$G$45,$C104&lt;='班次明細'!$H$45,OR('班次明細'!$K$45=0,$C104&lt;='班次明細'!$I$45,$B104&gt;='班次明細'!$J$45)),1,0)+IF(AND('班次明細'!$L$52&gt;0,$B104&gt;='班次明細'!$G$52,$C104&lt;='班次明細'!$H$52,OR('班次明細'!$K$52=0,$C104&lt;='班次明細'!$I$52,$B104&gt;='班次明細'!$J$52)),1,0)+IF(AND('班次明細'!$L$59&gt;0,$B104&gt;='班次明細'!$G$59,$C104&lt;='班次明細'!$H$59,OR('班次明細'!$K$59=0,$C104&lt;='班次明細'!$I$59,$B104&gt;='班次明細'!$J$59)),1,0)+IF(AND('班次明細'!$L$66&gt;0,$B104&gt;='班次明細'!$G$66,$C104&lt;='班次明細'!$H$66,OR('班次明細'!$K$66=0,$C104&lt;='班次明細'!$I$66,$B104&gt;='班次明細'!$J$66)),1,0)+IF(AND('班次明細'!$L$73&gt;0,$B104&gt;='班次明細'!$G$73,$C104&lt;='班次明細'!$H$73,OR('班次明細'!$K$73=0,$C104&lt;='班次明細'!$I$73,$B104&gt;='班次明細'!$J$73)),1,0)+IF(AND('班次明細'!$L$80&gt;0,$B104&gt;='班次明細'!$G$80,$C104&lt;='班次明細'!$H$80,OR('班次明細'!$K$80=0,$C104&lt;='班次明細'!$I$80,$B104&gt;='班次明細'!$J$80)),1,0)</x:f>
        <x:v>2</x:v>
      </x:c>
      <x:c r="H104" s="2" t="n">
        <x:f>MAX(0,E104-G104)</x:f>
        <x:v>0</x:v>
      </x:c>
      <x:c r="I104" s="2" t="n">
        <x:f>IF(F104="",0,MAX(0,G104-F104))</x:f>
        <x:v>0</x:v>
      </x:c>
      <x:c r="J104" s="2" t="n">
        <x:v>0</x:v>
      </x:c>
      <x:c r="K104" s="11" t="str"/>
      <x:c r="L104" s="11" t="str">
        <x:f>IF(OR(H104&gt;0,J104&gt;0),"營運參考／主管現場協調",IF(I104&gt;0,"營運參考／主管現場協調","本段人力足夠"))</x:f>
        <x:v>本段人力足夠</x:v>
      </x:c>
    </x:row>
    <x:row r="105" ht="42" customHeight="1">
      <x:c r="A105" s="12" t="n">
        <x:v>46283</x:v>
      </x:c>
      <x:c r="B105" s="13" t="n">
        <x:v>0.4791666666666667</x:v>
      </x:c>
      <x:c r="C105" s="13" t="n">
        <x:v>0.5</x:v>
      </x:c>
      <x:c r="D105" s="2" t="str">
        <x:v>平日離峰</x:v>
      </x:c>
      <x:c r="E105" s="2" t="n">
        <x:v>2</x:v>
      </x:c>
      <x:c r="F105" s="2"/>
      <x:c r="G105" s="2" t="n">
        <x:f>IF(AND('班次明細'!$L$10&gt;0,$B105&gt;='班次明細'!$G$10,$C105&lt;='班次明細'!$H$10,OR('班次明細'!$K$10=0,$C105&lt;='班次明細'!$I$10,$B105&gt;='班次明細'!$J$10)),1,0)+IF(AND('班次明細'!$L$17&gt;0,$B105&gt;='班次明細'!$G$17,$C105&lt;='班次明細'!$H$17,OR('班次明細'!$K$17=0,$C105&lt;='班次明細'!$I$17,$B105&gt;='班次明細'!$J$17)),1,0)+IF(AND('班次明細'!$L$24&gt;0,$B105&gt;='班次明細'!$G$24,$C105&lt;='班次明細'!$H$24,OR('班次明細'!$K$24=0,$C105&lt;='班次明細'!$I$24,$B105&gt;='班次明細'!$J$24)),1,0)+IF(AND('班次明細'!$L$31&gt;0,$B105&gt;='班次明細'!$G$31,$C105&lt;='班次明細'!$H$31,OR('班次明細'!$K$31=0,$C105&lt;='班次明細'!$I$31,$B105&gt;='班次明細'!$J$31)),1,0)+IF(AND('班次明細'!$L$38&gt;0,$B105&gt;='班次明細'!$G$38,$C105&lt;='班次明細'!$H$38,OR('班次明細'!$K$38=0,$C105&lt;='班次明細'!$I$38,$B105&gt;='班次明細'!$J$38)),1,0)+IF(AND('班次明細'!$L$45&gt;0,$B105&gt;='班次明細'!$G$45,$C105&lt;='班次明細'!$H$45,OR('班次明細'!$K$45=0,$C105&lt;='班次明細'!$I$45,$B105&gt;='班次明細'!$J$45)),1,0)+IF(AND('班次明細'!$L$52&gt;0,$B105&gt;='班次明細'!$G$52,$C105&lt;='班次明細'!$H$52,OR('班次明細'!$K$52=0,$C105&lt;='班次明細'!$I$52,$B105&gt;='班次明細'!$J$52)),1,0)+IF(AND('班次明細'!$L$59&gt;0,$B105&gt;='班次明細'!$G$59,$C105&lt;='班次明細'!$H$59,OR('班次明細'!$K$59=0,$C105&lt;='班次明細'!$I$59,$B105&gt;='班次明細'!$J$59)),1,0)+IF(AND('班次明細'!$L$66&gt;0,$B105&gt;='班次明細'!$G$66,$C105&lt;='班次明細'!$H$66,OR('班次明細'!$K$66=0,$C105&lt;='班次明細'!$I$66,$B105&gt;='班次明細'!$J$66)),1,0)+IF(AND('班次明細'!$L$73&gt;0,$B105&gt;='班次明細'!$G$73,$C105&lt;='班次明細'!$H$73,OR('班次明細'!$K$73=0,$C105&lt;='班次明細'!$I$73,$B105&gt;='班次明細'!$J$73)),1,0)+IF(AND('班次明細'!$L$80&gt;0,$B105&gt;='班次明細'!$G$80,$C105&lt;='班次明細'!$H$80,OR('班次明細'!$K$80=0,$C105&lt;='班次明細'!$I$80,$B105&gt;='班次明細'!$J$80)),1,0)</x:f>
        <x:v>4</x:v>
      </x:c>
      <x:c r="H105" s="2" t="n">
        <x:f>MAX(0,E105-G105)</x:f>
        <x:v>0</x:v>
      </x:c>
      <x:c r="I105" s="2" t="n">
        <x:f>IF(F105="",0,MAX(0,G105-F105))</x:f>
        <x:v>0</x:v>
      </x:c>
      <x:c r="J105" s="2" t="n">
        <x:v>0</x:v>
      </x:c>
      <x:c r="K105" s="11" t="str"/>
      <x:c r="L105" s="11" t="str">
        <x:f>IF(OR(H105&gt;0,J105&gt;0),"營運參考／主管現場協調",IF(I105&gt;0,"營運參考／主管現場協調","本段人力足夠"))</x:f>
        <x:v>本段人力足夠</x:v>
      </x:c>
    </x:row>
    <x:row r="106" ht="42" customHeight="1">
      <x:c r="A106" s="12" t="n">
        <x:v>46283</x:v>
      </x:c>
      <x:c r="B106" s="13" t="n">
        <x:v>0.5</x:v>
      </x:c>
      <x:c r="C106" s="13" t="n">
        <x:v>0.5208333333333334</x:v>
      </x:c>
      <x:c r="D106" s="2" t="str">
        <x:v>平日午峰</x:v>
      </x:c>
      <x:c r="E106" s="2" t="n">
        <x:v>4</x:v>
      </x:c>
      <x:c r="F106" s="2" t="n">
        <x:v>4</x:v>
      </x:c>
      <x:c r="G106" s="2" t="n">
        <x:f>IF(AND('班次明細'!$L$10&gt;0,$B106&gt;='班次明細'!$G$10,$C106&lt;='班次明細'!$H$10,OR('班次明細'!$K$10=0,$C106&lt;='班次明細'!$I$10,$B106&gt;='班次明細'!$J$10)),1,0)+IF(AND('班次明細'!$L$17&gt;0,$B106&gt;='班次明細'!$G$17,$C106&lt;='班次明細'!$H$17,OR('班次明細'!$K$17=0,$C106&lt;='班次明細'!$I$17,$B106&gt;='班次明細'!$J$17)),1,0)+IF(AND('班次明細'!$L$24&gt;0,$B106&gt;='班次明細'!$G$24,$C106&lt;='班次明細'!$H$24,OR('班次明細'!$K$24=0,$C106&lt;='班次明細'!$I$24,$B106&gt;='班次明細'!$J$24)),1,0)+IF(AND('班次明細'!$L$31&gt;0,$B106&gt;='班次明細'!$G$31,$C106&lt;='班次明細'!$H$31,OR('班次明細'!$K$31=0,$C106&lt;='班次明細'!$I$31,$B106&gt;='班次明細'!$J$31)),1,0)+IF(AND('班次明細'!$L$38&gt;0,$B106&gt;='班次明細'!$G$38,$C106&lt;='班次明細'!$H$38,OR('班次明細'!$K$38=0,$C106&lt;='班次明細'!$I$38,$B106&gt;='班次明細'!$J$38)),1,0)+IF(AND('班次明細'!$L$45&gt;0,$B106&gt;='班次明細'!$G$45,$C106&lt;='班次明細'!$H$45,OR('班次明細'!$K$45=0,$C106&lt;='班次明細'!$I$45,$B106&gt;='班次明細'!$J$45)),1,0)+IF(AND('班次明細'!$L$52&gt;0,$B106&gt;='班次明細'!$G$52,$C106&lt;='班次明細'!$H$52,OR('班次明細'!$K$52=0,$C106&lt;='班次明細'!$I$52,$B106&gt;='班次明細'!$J$52)),1,0)+IF(AND('班次明細'!$L$59&gt;0,$B106&gt;='班次明細'!$G$59,$C106&lt;='班次明細'!$H$59,OR('班次明細'!$K$59=0,$C106&lt;='班次明細'!$I$59,$B106&gt;='班次明細'!$J$59)),1,0)+IF(AND('班次明細'!$L$66&gt;0,$B106&gt;='班次明細'!$G$66,$C106&lt;='班次明細'!$H$66,OR('班次明細'!$K$66=0,$C106&lt;='班次明細'!$I$66,$B106&gt;='班次明細'!$J$66)),1,0)+IF(AND('班次明細'!$L$73&gt;0,$B106&gt;='班次明細'!$G$73,$C106&lt;='班次明細'!$H$73,OR('班次明細'!$K$73=0,$C106&lt;='班次明細'!$I$73,$B106&gt;='班次明細'!$J$73)),1,0)+IF(AND('班次明細'!$L$80&gt;0,$B106&gt;='班次明細'!$G$80,$C106&lt;='班次明細'!$H$80,OR('班次明細'!$K$80=0,$C106&lt;='班次明細'!$I$80,$B106&gt;='班次明細'!$J$80)),1,0)</x:f>
        <x:v>4</x:v>
      </x:c>
      <x:c r="H106" s="2" t="n">
        <x:f>MAX(0,E106-G106)</x:f>
        <x:v>0</x:v>
      </x:c>
      <x:c r="I106" s="2" t="n">
        <x:f>IF(F106="",0,MAX(0,G106-F106))</x:f>
        <x:v>0</x:v>
      </x:c>
      <x:c r="J106" s="2" t="n">
        <x:v>0</x:v>
      </x:c>
      <x:c r="K106" s="11" t="str"/>
      <x:c r="L106" s="11" t="str">
        <x:f>IF(OR(H106&gt;0,J106&gt;0),"營運參考／主管現場協調",IF(I106&gt;0,"營運參考／主管現場協調","本段人力足夠"))</x:f>
        <x:v>本段人力足夠</x:v>
      </x:c>
    </x:row>
    <x:row r="107" ht="42" customHeight="1">
      <x:c r="A107" s="12" t="n">
        <x:v>46283</x:v>
      </x:c>
      <x:c r="B107" s="13" t="n">
        <x:v>0.5208333333333334</x:v>
      </x:c>
      <x:c r="C107" s="13" t="n">
        <x:v>0.5416666666666666</x:v>
      </x:c>
      <x:c r="D107" s="2" t="str">
        <x:v>平日午峰</x:v>
      </x:c>
      <x:c r="E107" s="2" t="n">
        <x:v>4</x:v>
      </x:c>
      <x:c r="F107" s="2" t="n">
        <x:v>4</x:v>
      </x:c>
      <x:c r="G107" s="2" t="n">
        <x:f>IF(AND('班次明細'!$L$10&gt;0,$B107&gt;='班次明細'!$G$10,$C107&lt;='班次明細'!$H$10,OR('班次明細'!$K$10=0,$C107&lt;='班次明細'!$I$10,$B107&gt;='班次明細'!$J$10)),1,0)+IF(AND('班次明細'!$L$17&gt;0,$B107&gt;='班次明細'!$G$17,$C107&lt;='班次明細'!$H$17,OR('班次明細'!$K$17=0,$C107&lt;='班次明細'!$I$17,$B107&gt;='班次明細'!$J$17)),1,0)+IF(AND('班次明細'!$L$24&gt;0,$B107&gt;='班次明細'!$G$24,$C107&lt;='班次明細'!$H$24,OR('班次明細'!$K$24=0,$C107&lt;='班次明細'!$I$24,$B107&gt;='班次明細'!$J$24)),1,0)+IF(AND('班次明細'!$L$31&gt;0,$B107&gt;='班次明細'!$G$31,$C107&lt;='班次明細'!$H$31,OR('班次明細'!$K$31=0,$C107&lt;='班次明細'!$I$31,$B107&gt;='班次明細'!$J$31)),1,0)+IF(AND('班次明細'!$L$38&gt;0,$B107&gt;='班次明細'!$G$38,$C107&lt;='班次明細'!$H$38,OR('班次明細'!$K$38=0,$C107&lt;='班次明細'!$I$38,$B107&gt;='班次明細'!$J$38)),1,0)+IF(AND('班次明細'!$L$45&gt;0,$B107&gt;='班次明細'!$G$45,$C107&lt;='班次明細'!$H$45,OR('班次明細'!$K$45=0,$C107&lt;='班次明細'!$I$45,$B107&gt;='班次明細'!$J$45)),1,0)+IF(AND('班次明細'!$L$52&gt;0,$B107&gt;='班次明細'!$G$52,$C107&lt;='班次明細'!$H$52,OR('班次明細'!$K$52=0,$C107&lt;='班次明細'!$I$52,$B107&gt;='班次明細'!$J$52)),1,0)+IF(AND('班次明細'!$L$59&gt;0,$B107&gt;='班次明細'!$G$59,$C107&lt;='班次明細'!$H$59,OR('班次明細'!$K$59=0,$C107&lt;='班次明細'!$I$59,$B107&gt;='班次明細'!$J$59)),1,0)+IF(AND('班次明細'!$L$66&gt;0,$B107&gt;='班次明細'!$G$66,$C107&lt;='班次明細'!$H$66,OR('班次明細'!$K$66=0,$C107&lt;='班次明細'!$I$66,$B107&gt;='班次明細'!$J$66)),1,0)+IF(AND('班次明細'!$L$73&gt;0,$B107&gt;='班次明細'!$G$73,$C107&lt;='班次明細'!$H$73,OR('班次明細'!$K$73=0,$C107&lt;='班次明細'!$I$73,$B107&gt;='班次明細'!$J$73)),1,0)+IF(AND('班次明細'!$L$80&gt;0,$B107&gt;='班次明細'!$G$80,$C107&lt;='班次明細'!$H$80,OR('班次明細'!$K$80=0,$C107&lt;='班次明細'!$I$80,$B107&gt;='班次明細'!$J$80)),1,0)</x:f>
        <x:v>4</x:v>
      </x:c>
      <x:c r="H107" s="2" t="n">
        <x:f>MAX(0,E107-G107)</x:f>
        <x:v>0</x:v>
      </x:c>
      <x:c r="I107" s="2" t="n">
        <x:f>IF(F107="",0,MAX(0,G107-F107))</x:f>
        <x:v>0</x:v>
      </x:c>
      <x:c r="J107" s="2" t="n">
        <x:v>0</x:v>
      </x:c>
      <x:c r="K107" s="11" t="str"/>
      <x:c r="L107" s="11" t="str">
        <x:f>IF(OR(H107&gt;0,J107&gt;0),"營運參考／主管現場協調",IF(I107&gt;0,"營運參考／主管現場協調","本段人力足夠"))</x:f>
        <x:v>本段人力足夠</x:v>
      </x:c>
    </x:row>
    <x:row r="108" ht="42" customHeight="1">
      <x:c r="A108" s="12" t="n">
        <x:v>46283</x:v>
      </x:c>
      <x:c r="B108" s="13" t="n">
        <x:v>0.5416666666666666</x:v>
      </x:c>
      <x:c r="C108" s="13" t="n">
        <x:v>0.5625</x:v>
      </x:c>
      <x:c r="D108" s="2" t="str">
        <x:v>平日午峰</x:v>
      </x:c>
      <x:c r="E108" s="2" t="n">
        <x:v>4</x:v>
      </x:c>
      <x:c r="F108" s="2" t="n">
        <x:v>4</x:v>
      </x:c>
      <x:c r="G108" s="2" t="n">
        <x:f>IF(AND('班次明細'!$L$10&gt;0,$B108&gt;='班次明細'!$G$10,$C108&lt;='班次明細'!$H$10,OR('班次明細'!$K$10=0,$C108&lt;='班次明細'!$I$10,$B108&gt;='班次明細'!$J$10)),1,0)+IF(AND('班次明細'!$L$17&gt;0,$B108&gt;='班次明細'!$G$17,$C108&lt;='班次明細'!$H$17,OR('班次明細'!$K$17=0,$C108&lt;='班次明細'!$I$17,$B108&gt;='班次明細'!$J$17)),1,0)+IF(AND('班次明細'!$L$24&gt;0,$B108&gt;='班次明細'!$G$24,$C108&lt;='班次明細'!$H$24,OR('班次明細'!$K$24=0,$C108&lt;='班次明細'!$I$24,$B108&gt;='班次明細'!$J$24)),1,0)+IF(AND('班次明細'!$L$31&gt;0,$B108&gt;='班次明細'!$G$31,$C108&lt;='班次明細'!$H$31,OR('班次明細'!$K$31=0,$C108&lt;='班次明細'!$I$31,$B108&gt;='班次明細'!$J$31)),1,0)+IF(AND('班次明細'!$L$38&gt;0,$B108&gt;='班次明細'!$G$38,$C108&lt;='班次明細'!$H$38,OR('班次明細'!$K$38=0,$C108&lt;='班次明細'!$I$38,$B108&gt;='班次明細'!$J$38)),1,0)+IF(AND('班次明細'!$L$45&gt;0,$B108&gt;='班次明細'!$G$45,$C108&lt;='班次明細'!$H$45,OR('班次明細'!$K$45=0,$C108&lt;='班次明細'!$I$45,$B108&gt;='班次明細'!$J$45)),1,0)+IF(AND('班次明細'!$L$52&gt;0,$B108&gt;='班次明細'!$G$52,$C108&lt;='班次明細'!$H$52,OR('班次明細'!$K$52=0,$C108&lt;='班次明細'!$I$52,$B108&gt;='班次明細'!$J$52)),1,0)+IF(AND('班次明細'!$L$59&gt;0,$B108&gt;='班次明細'!$G$59,$C108&lt;='班次明細'!$H$59,OR('班次明細'!$K$59=0,$C108&lt;='班次明細'!$I$59,$B108&gt;='班次明細'!$J$59)),1,0)+IF(AND('班次明細'!$L$66&gt;0,$B108&gt;='班次明細'!$G$66,$C108&lt;='班次明細'!$H$66,OR('班次明細'!$K$66=0,$C108&lt;='班次明細'!$I$66,$B108&gt;='班次明細'!$J$66)),1,0)+IF(AND('班次明細'!$L$73&gt;0,$B108&gt;='班次明細'!$G$73,$C108&lt;='班次明細'!$H$73,OR('班次明細'!$K$73=0,$C108&lt;='班次明細'!$I$73,$B108&gt;='班次明細'!$J$73)),1,0)+IF(AND('班次明細'!$L$80&gt;0,$B108&gt;='班次明細'!$G$80,$C108&lt;='班次明細'!$H$80,OR('班次明細'!$K$80=0,$C108&lt;='班次明細'!$I$80,$B108&gt;='班次明細'!$J$80)),1,0)</x:f>
        <x:v>3</x:v>
      </x:c>
      <x:c r="H108" s="2" t="n">
        <x:f>MAX(0,E108-G108)</x:f>
        <x:v>1</x:v>
      </x:c>
      <x:c r="I108" s="2" t="n">
        <x:f>IF(F108="",0,MAX(0,G108-F108))</x:f>
        <x:v>0</x:v>
      </x:c>
      <x:c r="J108" s="2" t="n">
        <x:v>1</x:v>
      </x:c>
      <x:c r="K108" s="11" t="str">
        <x:v>料區</x:v>
      </x:c>
      <x:c r="L108" s="11" t="str">
        <x:f>IF(OR(H108&gt;0,J108&gt;0),"營運參考／主管現場協調",IF(I108&gt;0,"營運參考／主管現場協調","本段人力足夠"))</x:f>
        <x:v>營運參考／主管現場協調</x:v>
      </x:c>
    </x:row>
    <x:row r="109" ht="42" customHeight="1">
      <x:c r="A109" s="12" t="n">
        <x:v>46283</x:v>
      </x:c>
      <x:c r="B109" s="13" t="n">
        <x:v>0.5625</x:v>
      </x:c>
      <x:c r="C109" s="13" t="n">
        <x:v>0.5833333333333334</x:v>
      </x:c>
      <x:c r="D109" s="2" t="str">
        <x:v>平日離峰</x:v>
      </x:c>
      <x:c r="E109" s="2" t="n">
        <x:v>2</x:v>
      </x:c>
      <x:c r="F109" s="2"/>
      <x:c r="G109" s="2" t="n">
        <x:f>IF(AND('班次明細'!$L$10&gt;0,$B109&gt;='班次明細'!$G$10,$C109&lt;='班次明細'!$H$10,OR('班次明細'!$K$10=0,$C109&lt;='班次明細'!$I$10,$B109&gt;='班次明細'!$J$10)),1,0)+IF(AND('班次明細'!$L$17&gt;0,$B109&gt;='班次明細'!$G$17,$C109&lt;='班次明細'!$H$17,OR('班次明細'!$K$17=0,$C109&lt;='班次明細'!$I$17,$B109&gt;='班次明細'!$J$17)),1,0)+IF(AND('班次明細'!$L$24&gt;0,$B109&gt;='班次明細'!$G$24,$C109&lt;='班次明細'!$H$24,OR('班次明細'!$K$24=0,$C109&lt;='班次明細'!$I$24,$B109&gt;='班次明細'!$J$24)),1,0)+IF(AND('班次明細'!$L$31&gt;0,$B109&gt;='班次明細'!$G$31,$C109&lt;='班次明細'!$H$31,OR('班次明細'!$K$31=0,$C109&lt;='班次明細'!$I$31,$B109&gt;='班次明細'!$J$31)),1,0)+IF(AND('班次明細'!$L$38&gt;0,$B109&gt;='班次明細'!$G$38,$C109&lt;='班次明細'!$H$38,OR('班次明細'!$K$38=0,$C109&lt;='班次明細'!$I$38,$B109&gt;='班次明細'!$J$38)),1,0)+IF(AND('班次明細'!$L$45&gt;0,$B109&gt;='班次明細'!$G$45,$C109&lt;='班次明細'!$H$45,OR('班次明細'!$K$45=0,$C109&lt;='班次明細'!$I$45,$B109&gt;='班次明細'!$J$45)),1,0)+IF(AND('班次明細'!$L$52&gt;0,$B109&gt;='班次明細'!$G$52,$C109&lt;='班次明細'!$H$52,OR('班次明細'!$K$52=0,$C109&lt;='班次明細'!$I$52,$B109&gt;='班次明細'!$J$52)),1,0)+IF(AND('班次明細'!$L$59&gt;0,$B109&gt;='班次明細'!$G$59,$C109&lt;='班次明細'!$H$59,OR('班次明細'!$K$59=0,$C109&lt;='班次明細'!$I$59,$B109&gt;='班次明細'!$J$59)),1,0)+IF(AND('班次明細'!$L$66&gt;0,$B109&gt;='班次明細'!$G$66,$C109&lt;='班次明細'!$H$66,OR('班次明細'!$K$66=0,$C109&lt;='班次明細'!$I$66,$B109&gt;='班次明細'!$J$66)),1,0)+IF(AND('班次明細'!$L$73&gt;0,$B109&gt;='班次明細'!$G$73,$C109&lt;='班次明細'!$H$73,OR('班次明細'!$K$73=0,$C109&lt;='班次明細'!$I$73,$B109&gt;='班次明細'!$J$73)),1,0)+IF(AND('班次明細'!$L$80&gt;0,$B109&gt;='班次明細'!$G$80,$C109&lt;='班次明細'!$H$80,OR('班次明細'!$K$80=0,$C109&lt;='班次明細'!$I$80,$B109&gt;='班次明細'!$J$80)),1,0)</x:f>
        <x:v>4</x:v>
      </x:c>
      <x:c r="H109" s="2" t="n">
        <x:f>MAX(0,E109-G109)</x:f>
        <x:v>0</x:v>
      </x:c>
      <x:c r="I109" s="2" t="n">
        <x:f>IF(F109="",0,MAX(0,G109-F109))</x:f>
        <x:v>0</x:v>
      </x:c>
      <x:c r="J109" s="2" t="n">
        <x:v>0</x:v>
      </x:c>
      <x:c r="K109" s="11" t="str"/>
      <x:c r="L109" s="11" t="str">
        <x:f>IF(OR(H109&gt;0,J109&gt;0),"營運參考／主管現場協調",IF(I109&gt;0,"營運參考／主管現場協調","本段人力足夠"))</x:f>
        <x:v>本段人力足夠</x:v>
      </x:c>
    </x:row>
    <x:row r="110" ht="42" customHeight="1">
      <x:c r="A110" s="12" t="n">
        <x:v>46283</x:v>
      </x:c>
      <x:c r="B110" s="13" t="n">
        <x:v>0.5833333333333334</x:v>
      </x:c>
      <x:c r="C110" s="13" t="n">
        <x:v>0.6041666666666666</x:v>
      </x:c>
      <x:c r="D110" s="2" t="str">
        <x:v>平日離峰</x:v>
      </x:c>
      <x:c r="E110" s="2" t="n">
        <x:v>2</x:v>
      </x:c>
      <x:c r="F110" s="2"/>
      <x:c r="G110" s="2" t="n">
        <x:f>IF(AND('班次明細'!$L$10&gt;0,$B110&gt;='班次明細'!$G$10,$C110&lt;='班次明細'!$H$10,OR('班次明細'!$K$10=0,$C110&lt;='班次明細'!$I$10,$B110&gt;='班次明細'!$J$10)),1,0)+IF(AND('班次明細'!$L$17&gt;0,$B110&gt;='班次明細'!$G$17,$C110&lt;='班次明細'!$H$17,OR('班次明細'!$K$17=0,$C110&lt;='班次明細'!$I$17,$B110&gt;='班次明細'!$J$17)),1,0)+IF(AND('班次明細'!$L$24&gt;0,$B110&gt;='班次明細'!$G$24,$C110&lt;='班次明細'!$H$24,OR('班次明細'!$K$24=0,$C110&lt;='班次明細'!$I$24,$B110&gt;='班次明細'!$J$24)),1,0)+IF(AND('班次明細'!$L$31&gt;0,$B110&gt;='班次明細'!$G$31,$C110&lt;='班次明細'!$H$31,OR('班次明細'!$K$31=0,$C110&lt;='班次明細'!$I$31,$B110&gt;='班次明細'!$J$31)),1,0)+IF(AND('班次明細'!$L$38&gt;0,$B110&gt;='班次明細'!$G$38,$C110&lt;='班次明細'!$H$38,OR('班次明細'!$K$38=0,$C110&lt;='班次明細'!$I$38,$B110&gt;='班次明細'!$J$38)),1,0)+IF(AND('班次明細'!$L$45&gt;0,$B110&gt;='班次明細'!$G$45,$C110&lt;='班次明細'!$H$45,OR('班次明細'!$K$45=0,$C110&lt;='班次明細'!$I$45,$B110&gt;='班次明細'!$J$45)),1,0)+IF(AND('班次明細'!$L$52&gt;0,$B110&gt;='班次明細'!$G$52,$C110&lt;='班次明細'!$H$52,OR('班次明細'!$K$52=0,$C110&lt;='班次明細'!$I$52,$B110&gt;='班次明細'!$J$52)),1,0)+IF(AND('班次明細'!$L$59&gt;0,$B110&gt;='班次明細'!$G$59,$C110&lt;='班次明細'!$H$59,OR('班次明細'!$K$59=0,$C110&lt;='班次明細'!$I$59,$B110&gt;='班次明細'!$J$59)),1,0)+IF(AND('班次明細'!$L$66&gt;0,$B110&gt;='班次明細'!$G$66,$C110&lt;='班次明細'!$H$66,OR('班次明細'!$K$66=0,$C110&lt;='班次明細'!$I$66,$B110&gt;='班次明細'!$J$66)),1,0)+IF(AND('班次明細'!$L$73&gt;0,$B110&gt;='班次明細'!$G$73,$C110&lt;='班次明細'!$H$73,OR('班次明細'!$K$73=0,$C110&lt;='班次明細'!$I$73,$B110&gt;='班次明細'!$J$73)),1,0)+IF(AND('班次明細'!$L$80&gt;0,$B110&gt;='班次明細'!$G$80,$C110&lt;='班次明細'!$H$80,OR('班次明細'!$K$80=0,$C110&lt;='班次明細'!$I$80,$B110&gt;='班次明細'!$J$80)),1,0)</x:f>
        <x:v>4</x:v>
      </x:c>
      <x:c r="H110" s="2" t="n">
        <x:f>MAX(0,E110-G110)</x:f>
        <x:v>0</x:v>
      </x:c>
      <x:c r="I110" s="2" t="n">
        <x:f>IF(F110="",0,MAX(0,G110-F110))</x:f>
        <x:v>0</x:v>
      </x:c>
      <x:c r="J110" s="2" t="n">
        <x:v>0</x:v>
      </x:c>
      <x:c r="K110" s="11" t="str"/>
      <x:c r="L110" s="11" t="str">
        <x:f>IF(OR(H110&gt;0,J110&gt;0),"營運參考／主管現場協調",IF(I110&gt;0,"營運參考／主管現場協調","本段人力足夠"))</x:f>
        <x:v>本段人力足夠</x:v>
      </x:c>
    </x:row>
    <x:row r="111" ht="42" customHeight="1">
      <x:c r="A111" s="12" t="n">
        <x:v>46283</x:v>
      </x:c>
      <x:c r="B111" s="13" t="n">
        <x:v>0.6041666666666666</x:v>
      </x:c>
      <x:c r="C111" s="13" t="n">
        <x:v>0.625</x:v>
      </x:c>
      <x:c r="D111" s="2" t="str">
        <x:v>平日離峰</x:v>
      </x:c>
      <x:c r="E111" s="2" t="n">
        <x:v>2</x:v>
      </x:c>
      <x:c r="F111" s="2"/>
      <x:c r="G111" s="2" t="n">
        <x:f>IF(AND('班次明細'!$L$10&gt;0,$B111&gt;='班次明細'!$G$10,$C111&lt;='班次明細'!$H$10,OR('班次明細'!$K$10=0,$C111&lt;='班次明細'!$I$10,$B111&gt;='班次明細'!$J$10)),1,0)+IF(AND('班次明細'!$L$17&gt;0,$B111&gt;='班次明細'!$G$17,$C111&lt;='班次明細'!$H$17,OR('班次明細'!$K$17=0,$C111&lt;='班次明細'!$I$17,$B111&gt;='班次明細'!$J$17)),1,0)+IF(AND('班次明細'!$L$24&gt;0,$B111&gt;='班次明細'!$G$24,$C111&lt;='班次明細'!$H$24,OR('班次明細'!$K$24=0,$C111&lt;='班次明細'!$I$24,$B111&gt;='班次明細'!$J$24)),1,0)+IF(AND('班次明細'!$L$31&gt;0,$B111&gt;='班次明細'!$G$31,$C111&lt;='班次明細'!$H$31,OR('班次明細'!$K$31=0,$C111&lt;='班次明細'!$I$31,$B111&gt;='班次明細'!$J$31)),1,0)+IF(AND('班次明細'!$L$38&gt;0,$B111&gt;='班次明細'!$G$38,$C111&lt;='班次明細'!$H$38,OR('班次明細'!$K$38=0,$C111&lt;='班次明細'!$I$38,$B111&gt;='班次明細'!$J$38)),1,0)+IF(AND('班次明細'!$L$45&gt;0,$B111&gt;='班次明細'!$G$45,$C111&lt;='班次明細'!$H$45,OR('班次明細'!$K$45=0,$C111&lt;='班次明細'!$I$45,$B111&gt;='班次明細'!$J$45)),1,0)+IF(AND('班次明細'!$L$52&gt;0,$B111&gt;='班次明細'!$G$52,$C111&lt;='班次明細'!$H$52,OR('班次明細'!$K$52=0,$C111&lt;='班次明細'!$I$52,$B111&gt;='班次明細'!$J$52)),1,0)+IF(AND('班次明細'!$L$59&gt;0,$B111&gt;='班次明細'!$G$59,$C111&lt;='班次明細'!$H$59,OR('班次明細'!$K$59=0,$C111&lt;='班次明細'!$I$59,$B111&gt;='班次明細'!$J$59)),1,0)+IF(AND('班次明細'!$L$66&gt;0,$B111&gt;='班次明細'!$G$66,$C111&lt;='班次明細'!$H$66,OR('班次明細'!$K$66=0,$C111&lt;='班次明細'!$I$66,$B111&gt;='班次明細'!$J$66)),1,0)+IF(AND('班次明細'!$L$73&gt;0,$B111&gt;='班次明細'!$G$73,$C111&lt;='班次明細'!$H$73,OR('班次明細'!$K$73=0,$C111&lt;='班次明細'!$I$73,$B111&gt;='班次明細'!$J$73)),1,0)+IF(AND('班次明細'!$L$80&gt;0,$B111&gt;='班次明細'!$G$80,$C111&lt;='班次明細'!$H$80,OR('班次明細'!$K$80=0,$C111&lt;='班次明細'!$I$80,$B111&gt;='班次明細'!$J$80)),1,0)</x:f>
        <x:v>3</x:v>
      </x:c>
      <x:c r="H111" s="2" t="n">
        <x:f>MAX(0,E111-G111)</x:f>
        <x:v>0</x:v>
      </x:c>
      <x:c r="I111" s="2" t="n">
        <x:f>IF(F111="",0,MAX(0,G111-F111))</x:f>
        <x:v>0</x:v>
      </x:c>
      <x:c r="J111" s="2" t="n">
        <x:v>0</x:v>
      </x:c>
      <x:c r="K111" s="11" t="str"/>
      <x:c r="L111" s="11" t="str">
        <x:f>IF(OR(H111&gt;0,J111&gt;0),"營運參考／主管現場協調",IF(I111&gt;0,"營運參考／主管現場協調","本段人力足夠"))</x:f>
        <x:v>本段人力足夠</x:v>
      </x:c>
    </x:row>
    <x:row r="112" ht="42" customHeight="1">
      <x:c r="A112" s="12" t="n">
        <x:v>46283</x:v>
      </x:c>
      <x:c r="B112" s="13" t="n">
        <x:v>0.625</x:v>
      </x:c>
      <x:c r="C112" s="13" t="n">
        <x:v>0.6458333333333334</x:v>
      </x:c>
      <x:c r="D112" s="2" t="str">
        <x:v>平日離峰</x:v>
      </x:c>
      <x:c r="E112" s="2" t="n">
        <x:v>2</x:v>
      </x:c>
      <x:c r="F112" s="2"/>
      <x:c r="G112" s="2" t="n">
        <x:f>IF(AND('班次明細'!$L$10&gt;0,$B112&gt;='班次明細'!$G$10,$C112&lt;='班次明細'!$H$10,OR('班次明細'!$K$10=0,$C112&lt;='班次明細'!$I$10,$B112&gt;='班次明細'!$J$10)),1,0)+IF(AND('班次明細'!$L$17&gt;0,$B112&gt;='班次明細'!$G$17,$C112&lt;='班次明細'!$H$17,OR('班次明細'!$K$17=0,$C112&lt;='班次明細'!$I$17,$B112&gt;='班次明細'!$J$17)),1,0)+IF(AND('班次明細'!$L$24&gt;0,$B112&gt;='班次明細'!$G$24,$C112&lt;='班次明細'!$H$24,OR('班次明細'!$K$24=0,$C112&lt;='班次明細'!$I$24,$B112&gt;='班次明細'!$J$24)),1,0)+IF(AND('班次明細'!$L$31&gt;0,$B112&gt;='班次明細'!$G$31,$C112&lt;='班次明細'!$H$31,OR('班次明細'!$K$31=0,$C112&lt;='班次明細'!$I$31,$B112&gt;='班次明細'!$J$31)),1,0)+IF(AND('班次明細'!$L$38&gt;0,$B112&gt;='班次明細'!$G$38,$C112&lt;='班次明細'!$H$38,OR('班次明細'!$K$38=0,$C112&lt;='班次明細'!$I$38,$B112&gt;='班次明細'!$J$38)),1,0)+IF(AND('班次明細'!$L$45&gt;0,$B112&gt;='班次明細'!$G$45,$C112&lt;='班次明細'!$H$45,OR('班次明細'!$K$45=0,$C112&lt;='班次明細'!$I$45,$B112&gt;='班次明細'!$J$45)),1,0)+IF(AND('班次明細'!$L$52&gt;0,$B112&gt;='班次明細'!$G$52,$C112&lt;='班次明細'!$H$52,OR('班次明細'!$K$52=0,$C112&lt;='班次明細'!$I$52,$B112&gt;='班次明細'!$J$52)),1,0)+IF(AND('班次明細'!$L$59&gt;0,$B112&gt;='班次明細'!$G$59,$C112&lt;='班次明細'!$H$59,OR('班次明細'!$K$59=0,$C112&lt;='班次明細'!$I$59,$B112&gt;='班次明細'!$J$59)),1,0)+IF(AND('班次明細'!$L$66&gt;0,$B112&gt;='班次明細'!$G$66,$C112&lt;='班次明細'!$H$66,OR('班次明細'!$K$66=0,$C112&lt;='班次明細'!$I$66,$B112&gt;='班次明細'!$J$66)),1,0)+IF(AND('班次明細'!$L$73&gt;0,$B112&gt;='班次明細'!$G$73,$C112&lt;='班次明細'!$H$73,OR('班次明細'!$K$73=0,$C112&lt;='班次明細'!$I$73,$B112&gt;='班次明細'!$J$73)),1,0)+IF(AND('班次明細'!$L$80&gt;0,$B112&gt;='班次明細'!$G$80,$C112&lt;='班次明細'!$H$80,OR('班次明細'!$K$80=0,$C112&lt;='班次明細'!$I$80,$B112&gt;='班次明細'!$J$80)),1,0)</x:f>
        <x:v>2</x:v>
      </x:c>
      <x:c r="H112" s="2" t="n">
        <x:f>MAX(0,E112-G112)</x:f>
        <x:v>0</x:v>
      </x:c>
      <x:c r="I112" s="2" t="n">
        <x:f>IF(F112="",0,MAX(0,G112-F112))</x:f>
        <x:v>0</x:v>
      </x:c>
      <x:c r="J112" s="2" t="n">
        <x:v>0</x:v>
      </x:c>
      <x:c r="K112" s="11" t="str"/>
      <x:c r="L112" s="11" t="str">
        <x:f>IF(OR(H112&gt;0,J112&gt;0),"營運參考／主管現場協調",IF(I112&gt;0,"營運參考／主管現場協調","本段人力足夠"))</x:f>
        <x:v>本段人力足夠</x:v>
      </x:c>
    </x:row>
    <x:row r="113" ht="42" customHeight="1">
      <x:c r="A113" s="12" t="n">
        <x:v>46283</x:v>
      </x:c>
      <x:c r="B113" s="13" t="n">
        <x:v>0.6458333333333334</x:v>
      </x:c>
      <x:c r="C113" s="13" t="n">
        <x:v>0.6666666666666666</x:v>
      </x:c>
      <x:c r="D113" s="2" t="str">
        <x:v>平日離峰</x:v>
      </x:c>
      <x:c r="E113" s="2" t="n">
        <x:v>2</x:v>
      </x:c>
      <x:c r="F113" s="2"/>
      <x:c r="G113" s="2" t="n">
        <x:f>IF(AND('班次明細'!$L$10&gt;0,$B113&gt;='班次明細'!$G$10,$C113&lt;='班次明細'!$H$10,OR('班次明細'!$K$10=0,$C113&lt;='班次明細'!$I$10,$B113&gt;='班次明細'!$J$10)),1,0)+IF(AND('班次明細'!$L$17&gt;0,$B113&gt;='班次明細'!$G$17,$C113&lt;='班次明細'!$H$17,OR('班次明細'!$K$17=0,$C113&lt;='班次明細'!$I$17,$B113&gt;='班次明細'!$J$17)),1,0)+IF(AND('班次明細'!$L$24&gt;0,$B113&gt;='班次明細'!$G$24,$C113&lt;='班次明細'!$H$24,OR('班次明細'!$K$24=0,$C113&lt;='班次明細'!$I$24,$B113&gt;='班次明細'!$J$24)),1,0)+IF(AND('班次明細'!$L$31&gt;0,$B113&gt;='班次明細'!$G$31,$C113&lt;='班次明細'!$H$31,OR('班次明細'!$K$31=0,$C113&lt;='班次明細'!$I$31,$B113&gt;='班次明細'!$J$31)),1,0)+IF(AND('班次明細'!$L$38&gt;0,$B113&gt;='班次明細'!$G$38,$C113&lt;='班次明細'!$H$38,OR('班次明細'!$K$38=0,$C113&lt;='班次明細'!$I$38,$B113&gt;='班次明細'!$J$38)),1,0)+IF(AND('班次明細'!$L$45&gt;0,$B113&gt;='班次明細'!$G$45,$C113&lt;='班次明細'!$H$45,OR('班次明細'!$K$45=0,$C113&lt;='班次明細'!$I$45,$B113&gt;='班次明細'!$J$45)),1,0)+IF(AND('班次明細'!$L$52&gt;0,$B113&gt;='班次明細'!$G$52,$C113&lt;='班次明細'!$H$52,OR('班次明細'!$K$52=0,$C113&lt;='班次明細'!$I$52,$B113&gt;='班次明細'!$J$52)),1,0)+IF(AND('班次明細'!$L$59&gt;0,$B113&gt;='班次明細'!$G$59,$C113&lt;='班次明細'!$H$59,OR('班次明細'!$K$59=0,$C113&lt;='班次明細'!$I$59,$B113&gt;='班次明細'!$J$59)),1,0)+IF(AND('班次明細'!$L$66&gt;0,$B113&gt;='班次明細'!$G$66,$C113&lt;='班次明細'!$H$66,OR('班次明細'!$K$66=0,$C113&lt;='班次明細'!$I$66,$B113&gt;='班次明細'!$J$66)),1,0)+IF(AND('班次明細'!$L$73&gt;0,$B113&gt;='班次明細'!$G$73,$C113&lt;='班次明細'!$H$73,OR('班次明細'!$K$73=0,$C113&lt;='班次明細'!$I$73,$B113&gt;='班次明細'!$J$73)),1,0)+IF(AND('班次明細'!$L$80&gt;0,$B113&gt;='班次明細'!$G$80,$C113&lt;='班次明細'!$H$80,OR('班次明細'!$K$80=0,$C113&lt;='班次明細'!$I$80,$B113&gt;='班次明細'!$J$80)),1,0)</x:f>
        <x:v>0</x:v>
      </x:c>
      <x:c r="H113" s="2" t="n">
        <x:f>MAX(0,E113-G113)</x:f>
        <x:v>2</x:v>
      </x:c>
      <x:c r="I113" s="2" t="n">
        <x:f>IF(F113="",0,MAX(0,G113-F113))</x:f>
        <x:v>0</x:v>
      </x:c>
      <x:c r="J113" s="2" t="n">
        <x:v>2</x:v>
      </x:c>
      <x:c r="K113" s="11" t="str"/>
      <x:c r="L113" s="11" t="str">
        <x:f>IF(OR(H113&gt;0,J113&gt;0),"營運參考／主管現場協調",IF(I113&gt;0,"營運參考／主管現場協調","本段人力足夠"))</x:f>
        <x:v>營運參考／主管現場協調</x:v>
      </x:c>
    </x:row>
    <x:row r="114" ht="42" customHeight="1">
      <x:c r="A114" s="12" t="n">
        <x:v>46283</x:v>
      </x:c>
      <x:c r="B114" s="13" t="n">
        <x:v>0.6666666666666666</x:v>
      </x:c>
      <x:c r="C114" s="13" t="n">
        <x:v>0.6875</x:v>
      </x:c>
      <x:c r="D114" s="2" t="str">
        <x:v>平日離峰</x:v>
      </x:c>
      <x:c r="E114" s="2" t="n">
        <x:v>2</x:v>
      </x:c>
      <x:c r="F114" s="2"/>
      <x:c r="G114" s="2" t="n">
        <x:f>IF(AND('班次明細'!$L$10&gt;0,$B114&gt;='班次明細'!$G$10,$C114&lt;='班次明細'!$H$10,OR('班次明細'!$K$10=0,$C114&lt;='班次明細'!$I$10,$B114&gt;='班次明細'!$J$10)),1,0)+IF(AND('班次明細'!$L$17&gt;0,$B114&gt;='班次明細'!$G$17,$C114&lt;='班次明細'!$H$17,OR('班次明細'!$K$17=0,$C114&lt;='班次明細'!$I$17,$B114&gt;='班次明細'!$J$17)),1,0)+IF(AND('班次明細'!$L$24&gt;0,$B114&gt;='班次明細'!$G$24,$C114&lt;='班次明細'!$H$24,OR('班次明細'!$K$24=0,$C114&lt;='班次明細'!$I$24,$B114&gt;='班次明細'!$J$24)),1,0)+IF(AND('班次明細'!$L$31&gt;0,$B114&gt;='班次明細'!$G$31,$C114&lt;='班次明細'!$H$31,OR('班次明細'!$K$31=0,$C114&lt;='班次明細'!$I$31,$B114&gt;='班次明細'!$J$31)),1,0)+IF(AND('班次明細'!$L$38&gt;0,$B114&gt;='班次明細'!$G$38,$C114&lt;='班次明細'!$H$38,OR('班次明細'!$K$38=0,$C114&lt;='班次明細'!$I$38,$B114&gt;='班次明細'!$J$38)),1,0)+IF(AND('班次明細'!$L$45&gt;0,$B114&gt;='班次明細'!$G$45,$C114&lt;='班次明細'!$H$45,OR('班次明細'!$K$45=0,$C114&lt;='班次明細'!$I$45,$B114&gt;='班次明細'!$J$45)),1,0)+IF(AND('班次明細'!$L$52&gt;0,$B114&gt;='班次明細'!$G$52,$C114&lt;='班次明細'!$H$52,OR('班次明細'!$K$52=0,$C114&lt;='班次明細'!$I$52,$B114&gt;='班次明細'!$J$52)),1,0)+IF(AND('班次明細'!$L$59&gt;0,$B114&gt;='班次明細'!$G$59,$C114&lt;='班次明細'!$H$59,OR('班次明細'!$K$59=0,$C114&lt;='班次明細'!$I$59,$B114&gt;='班次明細'!$J$59)),1,0)+IF(AND('班次明細'!$L$66&gt;0,$B114&gt;='班次明細'!$G$66,$C114&lt;='班次明細'!$H$66,OR('班次明細'!$K$66=0,$C114&lt;='班次明細'!$I$66,$B114&gt;='班次明細'!$J$66)),1,0)+IF(AND('班次明細'!$L$73&gt;0,$B114&gt;='班次明細'!$G$73,$C114&lt;='班次明細'!$H$73,OR('班次明細'!$K$73=0,$C114&lt;='班次明細'!$I$73,$B114&gt;='班次明細'!$J$73)),1,0)+IF(AND('班次明細'!$L$80&gt;0,$B114&gt;='班次明細'!$G$80,$C114&lt;='班次明細'!$H$80,OR('班次明細'!$K$80=0,$C114&lt;='班次明細'!$I$80,$B114&gt;='班次明細'!$J$80)),1,0)</x:f>
        <x:v>0</x:v>
      </x:c>
      <x:c r="H114" s="2" t="n">
        <x:f>MAX(0,E114-G114)</x:f>
        <x:v>2</x:v>
      </x:c>
      <x:c r="I114" s="2" t="n">
        <x:f>IF(F114="",0,MAX(0,G114-F114))</x:f>
        <x:v>0</x:v>
      </x:c>
      <x:c r="J114" s="2" t="n">
        <x:v>2</x:v>
      </x:c>
      <x:c r="K114" s="11" t="str"/>
      <x:c r="L114" s="11" t="str">
        <x:f>IF(OR(H114&gt;0,J114&gt;0),"營運參考／主管現場協調",IF(I114&gt;0,"營運參考／主管現場協調","本段人力足夠"))</x:f>
        <x:v>營運參考／主管現場協調</x:v>
      </x:c>
    </x:row>
    <x:row r="115" ht="42" customHeight="1">
      <x:c r="A115" s="12" t="n">
        <x:v>46283</x:v>
      </x:c>
      <x:c r="B115" s="13" t="n">
        <x:v>0.6875</x:v>
      </x:c>
      <x:c r="C115" s="13" t="n">
        <x:v>0.7083333333333334</x:v>
      </x:c>
      <x:c r="D115" s="2" t="str">
        <x:v>平日離峰</x:v>
      </x:c>
      <x:c r="E115" s="2" t="n">
        <x:v>2</x:v>
      </x:c>
      <x:c r="F115" s="2"/>
      <x:c r="G115" s="2" t="n">
        <x:f>IF(AND('班次明細'!$L$10&gt;0,$B115&gt;='班次明細'!$G$10,$C115&lt;='班次明細'!$H$10,OR('班次明細'!$K$10=0,$C115&lt;='班次明細'!$I$10,$B115&gt;='班次明細'!$J$10)),1,0)+IF(AND('班次明細'!$L$17&gt;0,$B115&gt;='班次明細'!$G$17,$C115&lt;='班次明細'!$H$17,OR('班次明細'!$K$17=0,$C115&lt;='班次明細'!$I$17,$B115&gt;='班次明細'!$J$17)),1,0)+IF(AND('班次明細'!$L$24&gt;0,$B115&gt;='班次明細'!$G$24,$C115&lt;='班次明細'!$H$24,OR('班次明細'!$K$24=0,$C115&lt;='班次明細'!$I$24,$B115&gt;='班次明細'!$J$24)),1,0)+IF(AND('班次明細'!$L$31&gt;0,$B115&gt;='班次明細'!$G$31,$C115&lt;='班次明細'!$H$31,OR('班次明細'!$K$31=0,$C115&lt;='班次明細'!$I$31,$B115&gt;='班次明細'!$J$31)),1,0)+IF(AND('班次明細'!$L$38&gt;0,$B115&gt;='班次明細'!$G$38,$C115&lt;='班次明細'!$H$38,OR('班次明細'!$K$38=0,$C115&lt;='班次明細'!$I$38,$B115&gt;='班次明細'!$J$38)),1,0)+IF(AND('班次明細'!$L$45&gt;0,$B115&gt;='班次明細'!$G$45,$C115&lt;='班次明細'!$H$45,OR('班次明細'!$K$45=0,$C115&lt;='班次明細'!$I$45,$B115&gt;='班次明細'!$J$45)),1,0)+IF(AND('班次明細'!$L$52&gt;0,$B115&gt;='班次明細'!$G$52,$C115&lt;='班次明細'!$H$52,OR('班次明細'!$K$52=0,$C115&lt;='班次明細'!$I$52,$B115&gt;='班次明細'!$J$52)),1,0)+IF(AND('班次明細'!$L$59&gt;0,$B115&gt;='班次明細'!$G$59,$C115&lt;='班次明細'!$H$59,OR('班次明細'!$K$59=0,$C115&lt;='班次明細'!$I$59,$B115&gt;='班次明細'!$J$59)),1,0)+IF(AND('班次明細'!$L$66&gt;0,$B115&gt;='班次明細'!$G$66,$C115&lt;='班次明細'!$H$66,OR('班次明細'!$K$66=0,$C115&lt;='班次明細'!$I$66,$B115&gt;='班次明細'!$J$66)),1,0)+IF(AND('班次明細'!$L$73&gt;0,$B115&gt;='班次明細'!$G$73,$C115&lt;='班次明細'!$H$73,OR('班次明細'!$K$73=0,$C115&lt;='班次明細'!$I$73,$B115&gt;='班次明細'!$J$73)),1,0)+IF(AND('班次明細'!$L$80&gt;0,$B115&gt;='班次明細'!$G$80,$C115&lt;='班次明細'!$H$80,OR('班次明細'!$K$80=0,$C115&lt;='班次明細'!$I$80,$B115&gt;='班次明細'!$J$80)),1,0)</x:f>
        <x:v>1</x:v>
      </x:c>
      <x:c r="H115" s="2" t="n">
        <x:f>MAX(0,E115-G115)</x:f>
        <x:v>1</x:v>
      </x:c>
      <x:c r="I115" s="2" t="n">
        <x:f>IF(F115="",0,MAX(0,G115-F115))</x:f>
        <x:v>0</x:v>
      </x:c>
      <x:c r="J115" s="2" t="n">
        <x:v>1</x:v>
      </x:c>
      <x:c r="K115" s="11" t="str"/>
      <x:c r="L115" s="11" t="str">
        <x:f>IF(OR(H115&gt;0,J115&gt;0),"營運參考／主管現場協調",IF(I115&gt;0,"營運參考／主管現場協調","本段人力足夠"))</x:f>
        <x:v>營運參考／主管現場協調</x:v>
      </x:c>
    </x:row>
    <x:row r="116" ht="42" customHeight="1">
      <x:c r="A116" s="12" t="n">
        <x:v>46283</x:v>
      </x:c>
      <x:c r="B116" s="13" t="n">
        <x:v>0.7083333333333334</x:v>
      </x:c>
      <x:c r="C116" s="13" t="n">
        <x:v>0.7291666666666666</x:v>
      </x:c>
      <x:c r="D116" s="2" t="str">
        <x:v>平日離峰</x:v>
      </x:c>
      <x:c r="E116" s="2" t="n">
        <x:v>2</x:v>
      </x:c>
      <x:c r="F116" s="2"/>
      <x:c r="G116" s="2" t="n">
        <x:f>IF(AND('班次明細'!$L$10&gt;0,$B116&gt;='班次明細'!$G$10,$C116&lt;='班次明細'!$H$10,OR('班次明細'!$K$10=0,$C116&lt;='班次明細'!$I$10,$B116&gt;='班次明細'!$J$10)),1,0)+IF(AND('班次明細'!$L$17&gt;0,$B116&gt;='班次明細'!$G$17,$C116&lt;='班次明細'!$H$17,OR('班次明細'!$K$17=0,$C116&lt;='班次明細'!$I$17,$B116&gt;='班次明細'!$J$17)),1,0)+IF(AND('班次明細'!$L$24&gt;0,$B116&gt;='班次明細'!$G$24,$C116&lt;='班次明細'!$H$24,OR('班次明細'!$K$24=0,$C116&lt;='班次明細'!$I$24,$B116&gt;='班次明細'!$J$24)),1,0)+IF(AND('班次明細'!$L$31&gt;0,$B116&gt;='班次明細'!$G$31,$C116&lt;='班次明細'!$H$31,OR('班次明細'!$K$31=0,$C116&lt;='班次明細'!$I$31,$B116&gt;='班次明細'!$J$31)),1,0)+IF(AND('班次明細'!$L$38&gt;0,$B116&gt;='班次明細'!$G$38,$C116&lt;='班次明細'!$H$38,OR('班次明細'!$K$38=0,$C116&lt;='班次明細'!$I$38,$B116&gt;='班次明細'!$J$38)),1,0)+IF(AND('班次明細'!$L$45&gt;0,$B116&gt;='班次明細'!$G$45,$C116&lt;='班次明細'!$H$45,OR('班次明細'!$K$45=0,$C116&lt;='班次明細'!$I$45,$B116&gt;='班次明細'!$J$45)),1,0)+IF(AND('班次明細'!$L$52&gt;0,$B116&gt;='班次明細'!$G$52,$C116&lt;='班次明細'!$H$52,OR('班次明細'!$K$52=0,$C116&lt;='班次明細'!$I$52,$B116&gt;='班次明細'!$J$52)),1,0)+IF(AND('班次明細'!$L$59&gt;0,$B116&gt;='班次明細'!$G$59,$C116&lt;='班次明細'!$H$59,OR('班次明細'!$K$59=0,$C116&lt;='班次明細'!$I$59,$B116&gt;='班次明細'!$J$59)),1,0)+IF(AND('班次明細'!$L$66&gt;0,$B116&gt;='班次明細'!$G$66,$C116&lt;='班次明細'!$H$66,OR('班次明細'!$K$66=0,$C116&lt;='班次明細'!$I$66,$B116&gt;='班次明細'!$J$66)),1,0)+IF(AND('班次明細'!$L$73&gt;0,$B116&gt;='班次明細'!$G$73,$C116&lt;='班次明細'!$H$73,OR('班次明細'!$K$73=0,$C116&lt;='班次明細'!$I$73,$B116&gt;='班次明細'!$J$73)),1,0)+IF(AND('班次明細'!$L$80&gt;0,$B116&gt;='班次明細'!$G$80,$C116&lt;='班次明細'!$H$80,OR('班次明細'!$K$80=0,$C116&lt;='班次明細'!$I$80,$B116&gt;='班次明細'!$J$80)),1,0)</x:f>
        <x:v>3</x:v>
      </x:c>
      <x:c r="H116" s="2" t="n">
        <x:f>MAX(0,E116-G116)</x:f>
        <x:v>0</x:v>
      </x:c>
      <x:c r="I116" s="2" t="n">
        <x:f>IF(F116="",0,MAX(0,G116-F116))</x:f>
        <x:v>0</x:v>
      </x:c>
      <x:c r="J116" s="2" t="n">
        <x:v>0</x:v>
      </x:c>
      <x:c r="K116" s="11" t="str"/>
      <x:c r="L116" s="11" t="str">
        <x:f>IF(OR(H116&gt;0,J116&gt;0),"營運參考／主管現場協調",IF(I116&gt;0,"營運參考／主管現場協調","本段人力足夠"))</x:f>
        <x:v>本段人力足夠</x:v>
      </x:c>
    </x:row>
    <x:row r="117" ht="42" customHeight="1">
      <x:c r="A117" s="12" t="n">
        <x:v>46283</x:v>
      </x:c>
      <x:c r="B117" s="13" t="n">
        <x:v>0.7291666666666666</x:v>
      </x:c>
      <x:c r="C117" s="13" t="n">
        <x:v>0.75</x:v>
      </x:c>
      <x:c r="D117" s="2" t="str">
        <x:v>平日晚峰</x:v>
      </x:c>
      <x:c r="E117" s="2" t="n">
        <x:v>6</x:v>
      </x:c>
      <x:c r="F117" s="2" t="n">
        <x:v>6</x:v>
      </x:c>
      <x:c r="G117" s="2" t="n">
        <x:f>IF(AND('班次明細'!$L$10&gt;0,$B117&gt;='班次明細'!$G$10,$C117&lt;='班次明細'!$H$10,OR('班次明細'!$K$10=0,$C117&lt;='班次明細'!$I$10,$B117&gt;='班次明細'!$J$10)),1,0)+IF(AND('班次明細'!$L$17&gt;0,$B117&gt;='班次明細'!$G$17,$C117&lt;='班次明細'!$H$17,OR('班次明細'!$K$17=0,$C117&lt;='班次明細'!$I$17,$B117&gt;='班次明細'!$J$17)),1,0)+IF(AND('班次明細'!$L$24&gt;0,$B117&gt;='班次明細'!$G$24,$C117&lt;='班次明細'!$H$24,OR('班次明細'!$K$24=0,$C117&lt;='班次明細'!$I$24,$B117&gt;='班次明細'!$J$24)),1,0)+IF(AND('班次明細'!$L$31&gt;0,$B117&gt;='班次明細'!$G$31,$C117&lt;='班次明細'!$H$31,OR('班次明細'!$K$31=0,$C117&lt;='班次明細'!$I$31,$B117&gt;='班次明細'!$J$31)),1,0)+IF(AND('班次明細'!$L$38&gt;0,$B117&gt;='班次明細'!$G$38,$C117&lt;='班次明細'!$H$38,OR('班次明細'!$K$38=0,$C117&lt;='班次明細'!$I$38,$B117&gt;='班次明細'!$J$38)),1,0)+IF(AND('班次明細'!$L$45&gt;0,$B117&gt;='班次明細'!$G$45,$C117&lt;='班次明細'!$H$45,OR('班次明細'!$K$45=0,$C117&lt;='班次明細'!$I$45,$B117&gt;='班次明細'!$J$45)),1,0)+IF(AND('班次明細'!$L$52&gt;0,$B117&gt;='班次明細'!$G$52,$C117&lt;='班次明細'!$H$52,OR('班次明細'!$K$52=0,$C117&lt;='班次明細'!$I$52,$B117&gt;='班次明細'!$J$52)),1,0)+IF(AND('班次明細'!$L$59&gt;0,$B117&gt;='班次明細'!$G$59,$C117&lt;='班次明細'!$H$59,OR('班次明細'!$K$59=0,$C117&lt;='班次明細'!$I$59,$B117&gt;='班次明細'!$J$59)),1,0)+IF(AND('班次明細'!$L$66&gt;0,$B117&gt;='班次明細'!$G$66,$C117&lt;='班次明細'!$H$66,OR('班次明細'!$K$66=0,$C117&lt;='班次明細'!$I$66,$B117&gt;='班次明細'!$J$66)),1,0)+IF(AND('班次明細'!$L$73&gt;0,$B117&gt;='班次明細'!$G$73,$C117&lt;='班次明細'!$H$73,OR('班次明細'!$K$73=0,$C117&lt;='班次明細'!$I$73,$B117&gt;='班次明細'!$J$73)),1,0)+IF(AND('班次明細'!$L$80&gt;0,$B117&gt;='班次明細'!$G$80,$C117&lt;='班次明細'!$H$80,OR('班次明細'!$K$80=0,$C117&lt;='班次明細'!$I$80,$B117&gt;='班次明細'!$J$80)),1,0)</x:f>
        <x:v>4</x:v>
      </x:c>
      <x:c r="H117" s="2" t="n">
        <x:f>MAX(0,E117-G117)</x:f>
        <x:v>2</x:v>
      </x:c>
      <x:c r="I117" s="2" t="n">
        <x:f>IF(F117="",0,MAX(0,G117-F117))</x:f>
        <x:v>0</x:v>
      </x:c>
      <x:c r="J117" s="2" t="n">
        <x:v>1</x:v>
      </x:c>
      <x:c r="K117" s="11" t="str">
        <x:v>炸區</x:v>
      </x:c>
      <x:c r="L117" s="11" t="str">
        <x:f>IF(OR(H117&gt;0,J117&gt;0),"營運參考／主管現場協調",IF(I117&gt;0,"營運參考／主管現場協調","本段人力足夠"))</x:f>
        <x:v>營運參考／主管現場協調</x:v>
      </x:c>
    </x:row>
    <x:row r="118" ht="42" customHeight="1">
      <x:c r="A118" s="12" t="n">
        <x:v>46283</x:v>
      </x:c>
      <x:c r="B118" s="13" t="n">
        <x:v>0.75</x:v>
      </x:c>
      <x:c r="C118" s="13" t="n">
        <x:v>0.7708333333333334</x:v>
      </x:c>
      <x:c r="D118" s="2" t="str">
        <x:v>平日晚峰</x:v>
      </x:c>
      <x:c r="E118" s="2" t="n">
        <x:v>6</x:v>
      </x:c>
      <x:c r="F118" s="2" t="n">
        <x:v>6</x:v>
      </x:c>
      <x:c r="G118" s="2" t="n">
        <x:f>IF(AND('班次明細'!$L$10&gt;0,$B118&gt;='班次明細'!$G$10,$C118&lt;='班次明細'!$H$10,OR('班次明細'!$K$10=0,$C118&lt;='班次明細'!$I$10,$B118&gt;='班次明細'!$J$10)),1,0)+IF(AND('班次明細'!$L$17&gt;0,$B118&gt;='班次明細'!$G$17,$C118&lt;='班次明細'!$H$17,OR('班次明細'!$K$17=0,$C118&lt;='班次明細'!$I$17,$B118&gt;='班次明細'!$J$17)),1,0)+IF(AND('班次明細'!$L$24&gt;0,$B118&gt;='班次明細'!$G$24,$C118&lt;='班次明細'!$H$24,OR('班次明細'!$K$24=0,$C118&lt;='班次明細'!$I$24,$B118&gt;='班次明細'!$J$24)),1,0)+IF(AND('班次明細'!$L$31&gt;0,$B118&gt;='班次明細'!$G$31,$C118&lt;='班次明細'!$H$31,OR('班次明細'!$K$31=0,$C118&lt;='班次明細'!$I$31,$B118&gt;='班次明細'!$J$31)),1,0)+IF(AND('班次明細'!$L$38&gt;0,$B118&gt;='班次明細'!$G$38,$C118&lt;='班次明細'!$H$38,OR('班次明細'!$K$38=0,$C118&lt;='班次明細'!$I$38,$B118&gt;='班次明細'!$J$38)),1,0)+IF(AND('班次明細'!$L$45&gt;0,$B118&gt;='班次明細'!$G$45,$C118&lt;='班次明細'!$H$45,OR('班次明細'!$K$45=0,$C118&lt;='班次明細'!$I$45,$B118&gt;='班次明細'!$J$45)),1,0)+IF(AND('班次明細'!$L$52&gt;0,$B118&gt;='班次明細'!$G$52,$C118&lt;='班次明細'!$H$52,OR('班次明細'!$K$52=0,$C118&lt;='班次明細'!$I$52,$B118&gt;='班次明細'!$J$52)),1,0)+IF(AND('班次明細'!$L$59&gt;0,$B118&gt;='班次明細'!$G$59,$C118&lt;='班次明細'!$H$59,OR('班次明細'!$K$59=0,$C118&lt;='班次明細'!$I$59,$B118&gt;='班次明細'!$J$59)),1,0)+IF(AND('班次明細'!$L$66&gt;0,$B118&gt;='班次明細'!$G$66,$C118&lt;='班次明細'!$H$66,OR('班次明細'!$K$66=0,$C118&lt;='班次明細'!$I$66,$B118&gt;='班次明細'!$J$66)),1,0)+IF(AND('班次明細'!$L$73&gt;0,$B118&gt;='班次明細'!$G$73,$C118&lt;='班次明細'!$H$73,OR('班次明細'!$K$73=0,$C118&lt;='班次明細'!$I$73,$B118&gt;='班次明細'!$J$73)),1,0)+IF(AND('班次明細'!$L$80&gt;0,$B118&gt;='班次明細'!$G$80,$C118&lt;='班次明細'!$H$80,OR('班次明細'!$K$80=0,$C118&lt;='班次明細'!$I$80,$B118&gt;='班次明細'!$J$80)),1,0)</x:f>
        <x:v>6</x:v>
      </x:c>
      <x:c r="H118" s="2" t="n">
        <x:f>MAX(0,E118-G118)</x:f>
        <x:v>0</x:v>
      </x:c>
      <x:c r="I118" s="2" t="n">
        <x:f>IF(F118="",0,MAX(0,G118-F118))</x:f>
        <x:v>0</x:v>
      </x:c>
      <x:c r="J118" s="2" t="n">
        <x:v>0</x:v>
      </x:c>
      <x:c r="K118" s="11" t="str"/>
      <x:c r="L118" s="11" t="str">
        <x:f>IF(OR(H118&gt;0,J118&gt;0),"營運參考／主管現場協調",IF(I118&gt;0,"營運參考／主管現場協調","本段人力足夠"))</x:f>
        <x:v>本段人力足夠</x:v>
      </x:c>
    </x:row>
    <x:row r="119" ht="42" customHeight="1">
      <x:c r="A119" s="12" t="n">
        <x:v>46283</x:v>
      </x:c>
      <x:c r="B119" s="13" t="n">
        <x:v>0.7708333333333334</x:v>
      </x:c>
      <x:c r="C119" s="13" t="n">
        <x:v>0.7916666666666666</x:v>
      </x:c>
      <x:c r="D119" s="2" t="str">
        <x:v>平日晚峰</x:v>
      </x:c>
      <x:c r="E119" s="2" t="n">
        <x:v>6</x:v>
      </x:c>
      <x:c r="F119" s="2" t="n">
        <x:v>6</x:v>
      </x:c>
      <x:c r="G119" s="2" t="n">
        <x:f>IF(AND('班次明細'!$L$10&gt;0,$B119&gt;='班次明細'!$G$10,$C119&lt;='班次明細'!$H$10,OR('班次明細'!$K$10=0,$C119&lt;='班次明細'!$I$10,$B119&gt;='班次明細'!$J$10)),1,0)+IF(AND('班次明細'!$L$17&gt;0,$B119&gt;='班次明細'!$G$17,$C119&lt;='班次明細'!$H$17,OR('班次明細'!$K$17=0,$C119&lt;='班次明細'!$I$17,$B119&gt;='班次明細'!$J$17)),1,0)+IF(AND('班次明細'!$L$24&gt;0,$B119&gt;='班次明細'!$G$24,$C119&lt;='班次明細'!$H$24,OR('班次明細'!$K$24=0,$C119&lt;='班次明細'!$I$24,$B119&gt;='班次明細'!$J$24)),1,0)+IF(AND('班次明細'!$L$31&gt;0,$B119&gt;='班次明細'!$G$31,$C119&lt;='班次明細'!$H$31,OR('班次明細'!$K$31=0,$C119&lt;='班次明細'!$I$31,$B119&gt;='班次明細'!$J$31)),1,0)+IF(AND('班次明細'!$L$38&gt;0,$B119&gt;='班次明細'!$G$38,$C119&lt;='班次明細'!$H$38,OR('班次明細'!$K$38=0,$C119&lt;='班次明細'!$I$38,$B119&gt;='班次明細'!$J$38)),1,0)+IF(AND('班次明細'!$L$45&gt;0,$B119&gt;='班次明細'!$G$45,$C119&lt;='班次明細'!$H$45,OR('班次明細'!$K$45=0,$C119&lt;='班次明細'!$I$45,$B119&gt;='班次明細'!$J$45)),1,0)+IF(AND('班次明細'!$L$52&gt;0,$B119&gt;='班次明細'!$G$52,$C119&lt;='班次明細'!$H$52,OR('班次明細'!$K$52=0,$C119&lt;='班次明細'!$I$52,$B119&gt;='班次明細'!$J$52)),1,0)+IF(AND('班次明細'!$L$59&gt;0,$B119&gt;='班次明細'!$G$59,$C119&lt;='班次明細'!$H$59,OR('班次明細'!$K$59=0,$C119&lt;='班次明細'!$I$59,$B119&gt;='班次明細'!$J$59)),1,0)+IF(AND('班次明細'!$L$66&gt;0,$B119&gt;='班次明細'!$G$66,$C119&lt;='班次明細'!$H$66,OR('班次明細'!$K$66=0,$C119&lt;='班次明細'!$I$66,$B119&gt;='班次明細'!$J$66)),1,0)+IF(AND('班次明細'!$L$73&gt;0,$B119&gt;='班次明細'!$G$73,$C119&lt;='班次明細'!$H$73,OR('班次明細'!$K$73=0,$C119&lt;='班次明細'!$I$73,$B119&gt;='班次明細'!$J$73)),1,0)+IF(AND('班次明細'!$L$80&gt;0,$B119&gt;='班次明細'!$G$80,$C119&lt;='班次明細'!$H$80,OR('班次明細'!$K$80=0,$C119&lt;='班次明細'!$I$80,$B119&gt;='班次明細'!$J$80)),1,0)</x:f>
        <x:v>6</x:v>
      </x:c>
      <x:c r="H119" s="2" t="n">
        <x:f>MAX(0,E119-G119)</x:f>
        <x:v>0</x:v>
      </x:c>
      <x:c r="I119" s="2" t="n">
        <x:f>IF(F119="",0,MAX(0,G119-F119))</x:f>
        <x:v>0</x:v>
      </x:c>
      <x:c r="J119" s="2" t="n">
        <x:v>0</x:v>
      </x:c>
      <x:c r="K119" s="11" t="str"/>
      <x:c r="L119" s="11" t="str">
        <x:f>IF(OR(H119&gt;0,J119&gt;0),"營運參考／主管現場協調",IF(I119&gt;0,"營運參考／主管現場協調","本段人力足夠"))</x:f>
        <x:v>本段人力足夠</x:v>
      </x:c>
    </x:row>
    <x:row r="120" ht="42" customHeight="1">
      <x:c r="A120" s="12" t="n">
        <x:v>46283</x:v>
      </x:c>
      <x:c r="B120" s="13" t="n">
        <x:v>0.7916666666666666</x:v>
      </x:c>
      <x:c r="C120" s="13" t="n">
        <x:v>0.8125</x:v>
      </x:c>
      <x:c r="D120" s="2" t="str">
        <x:v>平日晚峰</x:v>
      </x:c>
      <x:c r="E120" s="2" t="n">
        <x:v>6</x:v>
      </x:c>
      <x:c r="F120" s="2" t="n">
        <x:v>6</x:v>
      </x:c>
      <x:c r="G120" s="2" t="n">
        <x:f>IF(AND('班次明細'!$L$10&gt;0,$B120&gt;='班次明細'!$G$10,$C120&lt;='班次明細'!$H$10,OR('班次明細'!$K$10=0,$C120&lt;='班次明細'!$I$10,$B120&gt;='班次明細'!$J$10)),1,0)+IF(AND('班次明細'!$L$17&gt;0,$B120&gt;='班次明細'!$G$17,$C120&lt;='班次明細'!$H$17,OR('班次明細'!$K$17=0,$C120&lt;='班次明細'!$I$17,$B120&gt;='班次明細'!$J$17)),1,0)+IF(AND('班次明細'!$L$24&gt;0,$B120&gt;='班次明細'!$G$24,$C120&lt;='班次明細'!$H$24,OR('班次明細'!$K$24=0,$C120&lt;='班次明細'!$I$24,$B120&gt;='班次明細'!$J$24)),1,0)+IF(AND('班次明細'!$L$31&gt;0,$B120&gt;='班次明細'!$G$31,$C120&lt;='班次明細'!$H$31,OR('班次明細'!$K$31=0,$C120&lt;='班次明細'!$I$31,$B120&gt;='班次明細'!$J$31)),1,0)+IF(AND('班次明細'!$L$38&gt;0,$B120&gt;='班次明細'!$G$38,$C120&lt;='班次明細'!$H$38,OR('班次明細'!$K$38=0,$C120&lt;='班次明細'!$I$38,$B120&gt;='班次明細'!$J$38)),1,0)+IF(AND('班次明細'!$L$45&gt;0,$B120&gt;='班次明細'!$G$45,$C120&lt;='班次明細'!$H$45,OR('班次明細'!$K$45=0,$C120&lt;='班次明細'!$I$45,$B120&gt;='班次明細'!$J$45)),1,0)+IF(AND('班次明細'!$L$52&gt;0,$B120&gt;='班次明細'!$G$52,$C120&lt;='班次明細'!$H$52,OR('班次明細'!$K$52=0,$C120&lt;='班次明細'!$I$52,$B120&gt;='班次明細'!$J$52)),1,0)+IF(AND('班次明細'!$L$59&gt;0,$B120&gt;='班次明細'!$G$59,$C120&lt;='班次明細'!$H$59,OR('班次明細'!$K$59=0,$C120&lt;='班次明細'!$I$59,$B120&gt;='班次明細'!$J$59)),1,0)+IF(AND('班次明細'!$L$66&gt;0,$B120&gt;='班次明細'!$G$66,$C120&lt;='班次明細'!$H$66,OR('班次明細'!$K$66=0,$C120&lt;='班次明細'!$I$66,$B120&gt;='班次明細'!$J$66)),1,0)+IF(AND('班次明細'!$L$73&gt;0,$B120&gt;='班次明細'!$G$73,$C120&lt;='班次明細'!$H$73,OR('班次明細'!$K$73=0,$C120&lt;='班次明細'!$I$73,$B120&gt;='班次明細'!$J$73)),1,0)+IF(AND('班次明細'!$L$80&gt;0,$B120&gt;='班次明細'!$G$80,$C120&lt;='班次明細'!$H$80,OR('班次明細'!$K$80=0,$C120&lt;='班次明細'!$I$80,$B120&gt;='班次明細'!$J$80)),1,0)</x:f>
        <x:v>6</x:v>
      </x:c>
      <x:c r="H120" s="2" t="n">
        <x:f>MAX(0,E120-G120)</x:f>
        <x:v>0</x:v>
      </x:c>
      <x:c r="I120" s="2" t="n">
        <x:f>IF(F120="",0,MAX(0,G120-F120))</x:f>
        <x:v>0</x:v>
      </x:c>
      <x:c r="J120" s="2" t="n">
        <x:v>0</x:v>
      </x:c>
      <x:c r="K120" s="11" t="str"/>
      <x:c r="L120" s="11" t="str">
        <x:f>IF(OR(H120&gt;0,J120&gt;0),"營運參考／主管現場協調",IF(I120&gt;0,"營運參考／主管現場協調","本段人力足夠"))</x:f>
        <x:v>本段人力足夠</x:v>
      </x:c>
    </x:row>
    <x:row r="121" ht="42" customHeight="1">
      <x:c r="A121" s="12" t="n">
        <x:v>46283</x:v>
      </x:c>
      <x:c r="B121" s="13" t="n">
        <x:v>0.8125</x:v>
      </x:c>
      <x:c r="C121" s="13" t="n">
        <x:v>0.8333333333333334</x:v>
      </x:c>
      <x:c r="D121" s="2" t="str">
        <x:v>平日離峰</x:v>
      </x:c>
      <x:c r="E121" s="2" t="n">
        <x:v>2</x:v>
      </x:c>
      <x:c r="F121" s="2"/>
      <x:c r="G121" s="2" t="n">
        <x:f>IF(AND('班次明細'!$L$10&gt;0,$B121&gt;='班次明細'!$G$10,$C121&lt;='班次明細'!$H$10,OR('班次明細'!$K$10=0,$C121&lt;='班次明細'!$I$10,$B121&gt;='班次明細'!$J$10)),1,0)+IF(AND('班次明細'!$L$17&gt;0,$B121&gt;='班次明細'!$G$17,$C121&lt;='班次明細'!$H$17,OR('班次明細'!$K$17=0,$C121&lt;='班次明細'!$I$17,$B121&gt;='班次明細'!$J$17)),1,0)+IF(AND('班次明細'!$L$24&gt;0,$B121&gt;='班次明細'!$G$24,$C121&lt;='班次明細'!$H$24,OR('班次明細'!$K$24=0,$C121&lt;='班次明細'!$I$24,$B121&gt;='班次明細'!$J$24)),1,0)+IF(AND('班次明細'!$L$31&gt;0,$B121&gt;='班次明細'!$G$31,$C121&lt;='班次明細'!$H$31,OR('班次明細'!$K$31=0,$C121&lt;='班次明細'!$I$31,$B121&gt;='班次明細'!$J$31)),1,0)+IF(AND('班次明細'!$L$38&gt;0,$B121&gt;='班次明細'!$G$38,$C121&lt;='班次明細'!$H$38,OR('班次明細'!$K$38=0,$C121&lt;='班次明細'!$I$38,$B121&gt;='班次明細'!$J$38)),1,0)+IF(AND('班次明細'!$L$45&gt;0,$B121&gt;='班次明細'!$G$45,$C121&lt;='班次明細'!$H$45,OR('班次明細'!$K$45=0,$C121&lt;='班次明細'!$I$45,$B121&gt;='班次明細'!$J$45)),1,0)+IF(AND('班次明細'!$L$52&gt;0,$B121&gt;='班次明細'!$G$52,$C121&lt;='班次明細'!$H$52,OR('班次明細'!$K$52=0,$C121&lt;='班次明細'!$I$52,$B121&gt;='班次明細'!$J$52)),1,0)+IF(AND('班次明細'!$L$59&gt;0,$B121&gt;='班次明細'!$G$59,$C121&lt;='班次明細'!$H$59,OR('班次明細'!$K$59=0,$C121&lt;='班次明細'!$I$59,$B121&gt;='班次明細'!$J$59)),1,0)+IF(AND('班次明細'!$L$66&gt;0,$B121&gt;='班次明細'!$G$66,$C121&lt;='班次明細'!$H$66,OR('班次明細'!$K$66=0,$C121&lt;='班次明細'!$I$66,$B121&gt;='班次明細'!$J$66)),1,0)+IF(AND('班次明細'!$L$73&gt;0,$B121&gt;='班次明細'!$G$73,$C121&lt;='班次明細'!$H$73,OR('班次明細'!$K$73=0,$C121&lt;='班次明細'!$I$73,$B121&gt;='班次明細'!$J$73)),1,0)+IF(AND('班次明細'!$L$80&gt;0,$B121&gt;='班次明細'!$G$80,$C121&lt;='班次明細'!$H$80,OR('班次明細'!$K$80=0,$C121&lt;='班次明細'!$I$80,$B121&gt;='班次明細'!$J$80)),1,0)</x:f>
        <x:v>6</x:v>
      </x:c>
      <x:c r="H121" s="2" t="n">
        <x:f>MAX(0,E121-G121)</x:f>
        <x:v>0</x:v>
      </x:c>
      <x:c r="I121" s="2" t="n">
        <x:f>IF(F121="",0,MAX(0,G121-F121))</x:f>
        <x:v>0</x:v>
      </x:c>
      <x:c r="J121" s="2" t="n">
        <x:v>0</x:v>
      </x:c>
      <x:c r="K121" s="11" t="str"/>
      <x:c r="L121" s="11" t="str">
        <x:f>IF(OR(H121&gt;0,J121&gt;0),"營運參考／主管現場協調",IF(I121&gt;0,"營運參考／主管現場協調","本段人力足夠"))</x:f>
        <x:v>本段人力足夠</x:v>
      </x:c>
    </x:row>
    <x:row r="122" ht="42" customHeight="1">
      <x:c r="A122" s="12" t="n">
        <x:v>46283</x:v>
      </x:c>
      <x:c r="B122" s="13" t="n">
        <x:v>0.8333333333333334</x:v>
      </x:c>
      <x:c r="C122" s="13" t="n">
        <x:v>0.8541666666666666</x:v>
      </x:c>
      <x:c r="D122" s="2" t="str">
        <x:v>平日收店20</x:v>
      </x:c>
      <x:c r="E122" s="2" t="n">
        <x:v>5</x:v>
      </x:c>
      <x:c r="F122" s="2"/>
      <x:c r="G122" s="2" t="n">
        <x:f>IF(AND('班次明細'!$L$10&gt;0,$B122&gt;='班次明細'!$G$10,$C122&lt;='班次明細'!$H$10,OR('班次明細'!$K$10=0,$C122&lt;='班次明細'!$I$10,$B122&gt;='班次明細'!$J$10)),1,0)+IF(AND('班次明細'!$L$17&gt;0,$B122&gt;='班次明細'!$G$17,$C122&lt;='班次明細'!$H$17,OR('班次明細'!$K$17=0,$C122&lt;='班次明細'!$I$17,$B122&gt;='班次明細'!$J$17)),1,0)+IF(AND('班次明細'!$L$24&gt;0,$B122&gt;='班次明細'!$G$24,$C122&lt;='班次明細'!$H$24,OR('班次明細'!$K$24=0,$C122&lt;='班次明細'!$I$24,$B122&gt;='班次明細'!$J$24)),1,0)+IF(AND('班次明細'!$L$31&gt;0,$B122&gt;='班次明細'!$G$31,$C122&lt;='班次明細'!$H$31,OR('班次明細'!$K$31=0,$C122&lt;='班次明細'!$I$31,$B122&gt;='班次明細'!$J$31)),1,0)+IF(AND('班次明細'!$L$38&gt;0,$B122&gt;='班次明細'!$G$38,$C122&lt;='班次明細'!$H$38,OR('班次明細'!$K$38=0,$C122&lt;='班次明細'!$I$38,$B122&gt;='班次明細'!$J$38)),1,0)+IF(AND('班次明細'!$L$45&gt;0,$B122&gt;='班次明細'!$G$45,$C122&lt;='班次明細'!$H$45,OR('班次明細'!$K$45=0,$C122&lt;='班次明細'!$I$45,$B122&gt;='班次明細'!$J$45)),1,0)+IF(AND('班次明細'!$L$52&gt;0,$B122&gt;='班次明細'!$G$52,$C122&lt;='班次明細'!$H$52,OR('班次明細'!$K$52=0,$C122&lt;='班次明細'!$I$52,$B122&gt;='班次明細'!$J$52)),1,0)+IF(AND('班次明細'!$L$59&gt;0,$B122&gt;='班次明細'!$G$59,$C122&lt;='班次明細'!$H$59,OR('班次明細'!$K$59=0,$C122&lt;='班次明細'!$I$59,$B122&gt;='班次明細'!$J$59)),1,0)+IF(AND('班次明細'!$L$66&gt;0,$B122&gt;='班次明細'!$G$66,$C122&lt;='班次明細'!$H$66,OR('班次明細'!$K$66=0,$C122&lt;='班次明細'!$I$66,$B122&gt;='班次明細'!$J$66)),1,0)+IF(AND('班次明細'!$L$73&gt;0,$B122&gt;='班次明細'!$G$73,$C122&lt;='班次明細'!$H$73,OR('班次明細'!$K$73=0,$C122&lt;='班次明細'!$I$73,$B122&gt;='班次明細'!$J$73)),1,0)+IF(AND('班次明細'!$L$80&gt;0,$B122&gt;='班次明細'!$G$80,$C122&lt;='班次明細'!$H$80,OR('班次明細'!$K$80=0,$C122&lt;='班次明細'!$I$80,$B122&gt;='班次明細'!$J$80)),1,0)</x:f>
        <x:v>6</x:v>
      </x:c>
      <x:c r="H122" s="2" t="n">
        <x:f>MAX(0,E122-G122)</x:f>
        <x:v>0</x:v>
      </x:c>
      <x:c r="I122" s="2" t="n">
        <x:f>IF(F122="",0,MAX(0,G122-F122))</x:f>
        <x:v>0</x:v>
      </x:c>
      <x:c r="J122" s="2" t="n">
        <x:v>0</x:v>
      </x:c>
      <x:c r="K122" s="11" t="str"/>
      <x:c r="L122" s="11" t="str">
        <x:f>IF(OR(H122&gt;0,J122&gt;0),"營運參考／主管現場協調；收店交接參考",IF(I122&gt;0,"營運參考／主管現場協調","人數足；收店交接參考"))</x:f>
        <x:v>人數足；收店交接參考</x:v>
      </x:c>
    </x:row>
    <x:row r="123" ht="42" customHeight="1">
      <x:c r="A123" s="12" t="n">
        <x:v>46283</x:v>
      </x:c>
      <x:c r="B123" s="13" t="n">
        <x:v>0.8541666666666666</x:v>
      </x:c>
      <x:c r="C123" s="13" t="n">
        <x:v>0.875</x:v>
      </x:c>
      <x:c r="D123" s="2" t="str">
        <x:v>平日收店20</x:v>
      </x:c>
      <x:c r="E123" s="2" t="n">
        <x:v>5</x:v>
      </x:c>
      <x:c r="F123" s="2"/>
      <x:c r="G123" s="2" t="n">
        <x:f>IF(AND('班次明細'!$L$10&gt;0,$B123&gt;='班次明細'!$G$10,$C123&lt;='班次明細'!$H$10,OR('班次明細'!$K$10=0,$C123&lt;='班次明細'!$I$10,$B123&gt;='班次明細'!$J$10)),1,0)+IF(AND('班次明細'!$L$17&gt;0,$B123&gt;='班次明細'!$G$17,$C123&lt;='班次明細'!$H$17,OR('班次明細'!$K$17=0,$C123&lt;='班次明細'!$I$17,$B123&gt;='班次明細'!$J$17)),1,0)+IF(AND('班次明細'!$L$24&gt;0,$B123&gt;='班次明細'!$G$24,$C123&lt;='班次明細'!$H$24,OR('班次明細'!$K$24=0,$C123&lt;='班次明細'!$I$24,$B123&gt;='班次明細'!$J$24)),1,0)+IF(AND('班次明細'!$L$31&gt;0,$B123&gt;='班次明細'!$G$31,$C123&lt;='班次明細'!$H$31,OR('班次明細'!$K$31=0,$C123&lt;='班次明細'!$I$31,$B123&gt;='班次明細'!$J$31)),1,0)+IF(AND('班次明細'!$L$38&gt;0,$B123&gt;='班次明細'!$G$38,$C123&lt;='班次明細'!$H$38,OR('班次明細'!$K$38=0,$C123&lt;='班次明細'!$I$38,$B123&gt;='班次明細'!$J$38)),1,0)+IF(AND('班次明細'!$L$45&gt;0,$B123&gt;='班次明細'!$G$45,$C123&lt;='班次明細'!$H$45,OR('班次明細'!$K$45=0,$C123&lt;='班次明細'!$I$45,$B123&gt;='班次明細'!$J$45)),1,0)+IF(AND('班次明細'!$L$52&gt;0,$B123&gt;='班次明細'!$G$52,$C123&lt;='班次明細'!$H$52,OR('班次明細'!$K$52=0,$C123&lt;='班次明細'!$I$52,$B123&gt;='班次明細'!$J$52)),1,0)+IF(AND('班次明細'!$L$59&gt;0,$B123&gt;='班次明細'!$G$59,$C123&lt;='班次明細'!$H$59,OR('班次明細'!$K$59=0,$C123&lt;='班次明細'!$I$59,$B123&gt;='班次明細'!$J$59)),1,0)+IF(AND('班次明細'!$L$66&gt;0,$B123&gt;='班次明細'!$G$66,$C123&lt;='班次明細'!$H$66,OR('班次明細'!$K$66=0,$C123&lt;='班次明細'!$I$66,$B123&gt;='班次明細'!$J$66)),1,0)+IF(AND('班次明細'!$L$73&gt;0,$B123&gt;='班次明細'!$G$73,$C123&lt;='班次明細'!$H$73,OR('班次明細'!$K$73=0,$C123&lt;='班次明細'!$I$73,$B123&gt;='班次明細'!$J$73)),1,0)+IF(AND('班次明細'!$L$80&gt;0,$B123&gt;='班次明細'!$G$80,$C123&lt;='班次明細'!$H$80,OR('班次明細'!$K$80=0,$C123&lt;='班次明細'!$I$80,$B123&gt;='班次明細'!$J$80)),1,0)</x:f>
        <x:v>6</x:v>
      </x:c>
      <x:c r="H123" s="2" t="n">
        <x:f>MAX(0,E123-G123)</x:f>
        <x:v>0</x:v>
      </x:c>
      <x:c r="I123" s="2" t="n">
        <x:f>IF(F123="",0,MAX(0,G123-F123))</x:f>
        <x:v>0</x:v>
      </x:c>
      <x:c r="J123" s="2" t="n">
        <x:v>0</x:v>
      </x:c>
      <x:c r="K123" s="11" t="str"/>
      <x:c r="L123" s="11" t="str">
        <x:f>IF(OR(H123&gt;0,J123&gt;0),"營運參考／主管現場協調；收店交接參考",IF(I123&gt;0,"營運參考／主管現場協調","人數足；收店交接參考"))</x:f>
        <x:v>人數足；收店交接參考</x:v>
      </x:c>
    </x:row>
    <x:row r="124" ht="42" customHeight="1">
      <x:c r="A124" s="12" t="n">
        <x:v>46283</x:v>
      </x:c>
      <x:c r="B124" s="13" t="n">
        <x:v>0.875</x:v>
      </x:c>
      <x:c r="C124" s="13" t="n">
        <x:v>0.8958333333333334</x:v>
      </x:c>
      <x:c r="D124" s="2" t="str">
        <x:v>平日收店21</x:v>
      </x:c>
      <x:c r="E124" s="2" t="n">
        <x:v>4</x:v>
      </x:c>
      <x:c r="F124" s="2"/>
      <x:c r="G124" s="2" t="n">
        <x:f>IF(AND('班次明細'!$L$10&gt;0,$B124&gt;='班次明細'!$G$10,$C124&lt;='班次明細'!$H$10,OR('班次明細'!$K$10=0,$C124&lt;='班次明細'!$I$10,$B124&gt;='班次明細'!$J$10)),1,0)+IF(AND('班次明細'!$L$17&gt;0,$B124&gt;='班次明細'!$G$17,$C124&lt;='班次明細'!$H$17,OR('班次明細'!$K$17=0,$C124&lt;='班次明細'!$I$17,$B124&gt;='班次明細'!$J$17)),1,0)+IF(AND('班次明細'!$L$24&gt;0,$B124&gt;='班次明細'!$G$24,$C124&lt;='班次明細'!$H$24,OR('班次明細'!$K$24=0,$C124&lt;='班次明細'!$I$24,$B124&gt;='班次明細'!$J$24)),1,0)+IF(AND('班次明細'!$L$31&gt;0,$B124&gt;='班次明細'!$G$31,$C124&lt;='班次明細'!$H$31,OR('班次明細'!$K$31=0,$C124&lt;='班次明細'!$I$31,$B124&gt;='班次明細'!$J$31)),1,0)+IF(AND('班次明細'!$L$38&gt;0,$B124&gt;='班次明細'!$G$38,$C124&lt;='班次明細'!$H$38,OR('班次明細'!$K$38=0,$C124&lt;='班次明細'!$I$38,$B124&gt;='班次明細'!$J$38)),1,0)+IF(AND('班次明細'!$L$45&gt;0,$B124&gt;='班次明細'!$G$45,$C124&lt;='班次明細'!$H$45,OR('班次明細'!$K$45=0,$C124&lt;='班次明細'!$I$45,$B124&gt;='班次明細'!$J$45)),1,0)+IF(AND('班次明細'!$L$52&gt;0,$B124&gt;='班次明細'!$G$52,$C124&lt;='班次明細'!$H$52,OR('班次明細'!$K$52=0,$C124&lt;='班次明細'!$I$52,$B124&gt;='班次明細'!$J$52)),1,0)+IF(AND('班次明細'!$L$59&gt;0,$B124&gt;='班次明細'!$G$59,$C124&lt;='班次明細'!$H$59,OR('班次明細'!$K$59=0,$C124&lt;='班次明細'!$I$59,$B124&gt;='班次明細'!$J$59)),1,0)+IF(AND('班次明細'!$L$66&gt;0,$B124&gt;='班次明細'!$G$66,$C124&lt;='班次明細'!$H$66,OR('班次明細'!$K$66=0,$C124&lt;='班次明細'!$I$66,$B124&gt;='班次明細'!$J$66)),1,0)+IF(AND('班次明細'!$L$73&gt;0,$B124&gt;='班次明細'!$G$73,$C124&lt;='班次明細'!$H$73,OR('班次明細'!$K$73=0,$C124&lt;='班次明細'!$I$73,$B124&gt;='班次明細'!$J$73)),1,0)+IF(AND('班次明細'!$L$80&gt;0,$B124&gt;='班次明細'!$G$80,$C124&lt;='班次明細'!$H$80,OR('班次明細'!$K$80=0,$C124&lt;='班次明細'!$I$80,$B124&gt;='班次明細'!$J$80)),1,0)</x:f>
        <x:v>4</x:v>
      </x:c>
      <x:c r="H124" s="2" t="n">
        <x:f>MAX(0,E124-G124)</x:f>
        <x:v>0</x:v>
      </x:c>
      <x:c r="I124" s="2" t="n">
        <x:f>IF(F124="",0,MAX(0,G124-F124))</x:f>
        <x:v>0</x:v>
      </x:c>
      <x:c r="J124" s="2" t="n">
        <x:v>0</x:v>
      </x:c>
      <x:c r="K124" s="11" t="str"/>
      <x:c r="L124" s="11" t="str">
        <x:f>IF(OR(H124&gt;0,J124&gt;0),"營運參考／主管現場協調；收店交接參考",IF(I124&gt;0,"營運參考／主管現場協調","人數足；收店交接參考"))</x:f>
        <x:v>人數足；收店交接參考</x:v>
      </x:c>
    </x:row>
    <x:row r="125" ht="42" customHeight="1">
      <x:c r="A125" s="12" t="n">
        <x:v>46283</x:v>
      </x:c>
      <x:c r="B125" s="13" t="n">
        <x:v>0.8958333333333334</x:v>
      </x:c>
      <x:c r="C125" s="13" t="n">
        <x:v>0.9166666666666666</x:v>
      </x:c>
      <x:c r="D125" s="2" t="str">
        <x:v>已結束</x:v>
      </x:c>
      <x:c r="E125" s="2" t="n">
        <x:v>0</x:v>
      </x:c>
      <x:c r="F125" s="2"/>
      <x:c r="G125" s="2" t="n">
        <x:f>IF(AND('班次明細'!$L$10&gt;0,$B125&gt;='班次明細'!$G$10,$C125&lt;='班次明細'!$H$10,OR('班次明細'!$K$10=0,$C125&lt;='班次明細'!$I$10,$B125&gt;='班次明細'!$J$10)),1,0)+IF(AND('班次明細'!$L$17&gt;0,$B125&gt;='班次明細'!$G$17,$C125&lt;='班次明細'!$H$17,OR('班次明細'!$K$17=0,$C125&lt;='班次明細'!$I$17,$B125&gt;='班次明細'!$J$17)),1,0)+IF(AND('班次明細'!$L$24&gt;0,$B125&gt;='班次明細'!$G$24,$C125&lt;='班次明細'!$H$24,OR('班次明細'!$K$24=0,$C125&lt;='班次明細'!$I$24,$B125&gt;='班次明細'!$J$24)),1,0)+IF(AND('班次明細'!$L$31&gt;0,$B125&gt;='班次明細'!$G$31,$C125&lt;='班次明細'!$H$31,OR('班次明細'!$K$31=0,$C125&lt;='班次明細'!$I$31,$B125&gt;='班次明細'!$J$31)),1,0)+IF(AND('班次明細'!$L$38&gt;0,$B125&gt;='班次明細'!$G$38,$C125&lt;='班次明細'!$H$38,OR('班次明細'!$K$38=0,$C125&lt;='班次明細'!$I$38,$B125&gt;='班次明細'!$J$38)),1,0)+IF(AND('班次明細'!$L$45&gt;0,$B125&gt;='班次明細'!$G$45,$C125&lt;='班次明細'!$H$45,OR('班次明細'!$K$45=0,$C125&lt;='班次明細'!$I$45,$B125&gt;='班次明細'!$J$45)),1,0)+IF(AND('班次明細'!$L$52&gt;0,$B125&gt;='班次明細'!$G$52,$C125&lt;='班次明細'!$H$52,OR('班次明細'!$K$52=0,$C125&lt;='班次明細'!$I$52,$B125&gt;='班次明細'!$J$52)),1,0)+IF(AND('班次明細'!$L$59&gt;0,$B125&gt;='班次明細'!$G$59,$C125&lt;='班次明細'!$H$59,OR('班次明細'!$K$59=0,$C125&lt;='班次明細'!$I$59,$B125&gt;='班次明細'!$J$59)),1,0)+IF(AND('班次明細'!$L$66&gt;0,$B125&gt;='班次明細'!$G$66,$C125&lt;='班次明細'!$H$66,OR('班次明細'!$K$66=0,$C125&lt;='班次明細'!$I$66,$B125&gt;='班次明細'!$J$66)),1,0)+IF(AND('班次明細'!$L$73&gt;0,$B125&gt;='班次明細'!$G$73,$C125&lt;='班次明細'!$H$73,OR('班次明細'!$K$73=0,$C125&lt;='班次明細'!$I$73,$B125&gt;='班次明細'!$J$73)),1,0)+IF(AND('班次明細'!$L$80&gt;0,$B125&gt;='班次明細'!$G$80,$C125&lt;='班次明細'!$H$80,OR('班次明細'!$K$80=0,$C125&lt;='班次明細'!$I$80,$B125&gt;='班次明細'!$J$80)),1,0)</x:f>
        <x:v>0</x:v>
      </x:c>
      <x:c r="H125" s="2" t="n">
        <x:f>MAX(0,E125-G125)</x:f>
        <x:v>0</x:v>
      </x:c>
      <x:c r="I125" s="2" t="n">
        <x:f>IF(F125="",0,MAX(0,G125-F125))</x:f>
        <x:v>0</x:v>
      </x:c>
      <x:c r="J125" s="2" t="n">
        <x:v>0</x:v>
      </x:c>
      <x:c r="K125" s="11" t="str"/>
      <x:c r="L125" s="11" t="str">
        <x:f>IF(OR(H125&gt;0,J125&gt;0),"營運參考／主管現場協調",IF(I125&gt;0,"營運參考／主管現場協調","無最低人力需求"))</x:f>
        <x:v>無最低人力需求</x:v>
      </x:c>
    </x:row>
    <x:row r="126" ht="42" customHeight="1">
      <x:c r="A126" s="12" t="n">
        <x:v>46284</x:v>
      </x:c>
      <x:c r="B126" s="13" t="n">
        <x:v>0.4166666666666667</x:v>
      </x:c>
      <x:c r="C126" s="13" t="n">
        <x:v>0.4375</x:v>
      </x:c>
      <x:c r="D126" s="2" t="str">
        <x:v>開店</x:v>
      </x:c>
      <x:c r="E126" s="2" t="n">
        <x:v>1</x:v>
      </x:c>
      <x:c r="F126" s="2" t="n">
        <x:v>1</x:v>
      </x:c>
      <x:c r="G126" s="2" t="n">
        <x:f>IF(AND('班次明細'!$L$11&gt;0,$B126&gt;='班次明細'!$G$11,$C126&lt;='班次明細'!$H$11,OR('班次明細'!$K$11=0,$C126&lt;='班次明細'!$I$11,$B126&gt;='班次明細'!$J$11)),1,0)+IF(AND('班次明細'!$L$18&gt;0,$B126&gt;='班次明細'!$G$18,$C126&lt;='班次明細'!$H$18,OR('班次明細'!$K$18=0,$C126&lt;='班次明細'!$I$18,$B126&gt;='班次明細'!$J$18)),1,0)+IF(AND('班次明細'!$L$25&gt;0,$B126&gt;='班次明細'!$G$25,$C126&lt;='班次明細'!$H$25,OR('班次明細'!$K$25=0,$C126&lt;='班次明細'!$I$25,$B126&gt;='班次明細'!$J$25)),1,0)+IF(AND('班次明細'!$L$32&gt;0,$B126&gt;='班次明細'!$G$32,$C126&lt;='班次明細'!$H$32,OR('班次明細'!$K$32=0,$C126&lt;='班次明細'!$I$32,$B126&gt;='班次明細'!$J$32)),1,0)+IF(AND('班次明細'!$L$39&gt;0,$B126&gt;='班次明細'!$G$39,$C126&lt;='班次明細'!$H$39,OR('班次明細'!$K$39=0,$C126&lt;='班次明細'!$I$39,$B126&gt;='班次明細'!$J$39)),1,0)+IF(AND('班次明細'!$L$46&gt;0,$B126&gt;='班次明細'!$G$46,$C126&lt;='班次明細'!$H$46,OR('班次明細'!$K$46=0,$C126&lt;='班次明細'!$I$46,$B126&gt;='班次明細'!$J$46)),1,0)+IF(AND('班次明細'!$L$53&gt;0,$B126&gt;='班次明細'!$G$53,$C126&lt;='班次明細'!$H$53,OR('班次明細'!$K$53=0,$C126&lt;='班次明細'!$I$53,$B126&gt;='班次明細'!$J$53)),1,0)+IF(AND('班次明細'!$L$60&gt;0,$B126&gt;='班次明細'!$G$60,$C126&lt;='班次明細'!$H$60,OR('班次明細'!$K$60=0,$C126&lt;='班次明細'!$I$60,$B126&gt;='班次明細'!$J$60)),1,0)+IF(AND('班次明細'!$L$67&gt;0,$B126&gt;='班次明細'!$G$67,$C126&lt;='班次明細'!$H$67,OR('班次明細'!$K$67=0,$C126&lt;='班次明細'!$I$67,$B126&gt;='班次明細'!$J$67)),1,0)+IF(AND('班次明細'!$L$74&gt;0,$B126&gt;='班次明細'!$G$74,$C126&lt;='班次明細'!$H$74,OR('班次明細'!$K$74=0,$C126&lt;='班次明細'!$I$74,$B126&gt;='班次明細'!$J$74)),1,0)+IF(AND('班次明細'!$L$81&gt;0,$B126&gt;='班次明細'!$G$81,$C126&lt;='班次明細'!$H$81,OR('班次明細'!$K$81=0,$C126&lt;='班次明細'!$I$81,$B126&gt;='班次明細'!$J$81)),1,0)</x:f>
        <x:v>1</x:v>
      </x:c>
      <x:c r="H126" s="2" t="n">
        <x:f>MAX(0,E126-G126)</x:f>
        <x:v>0</x:v>
      </x:c>
      <x:c r="I126" s="2" t="n">
        <x:f>IF(F126="",0,MAX(0,G126-F126))</x:f>
        <x:v>0</x:v>
      </x:c>
      <x:c r="J126" s="2" t="n">
        <x:v>0</x:v>
      </x:c>
      <x:c r="K126" s="11" t="str"/>
      <x:c r="L126" s="11" t="str">
        <x:f>IF(OR(H126&gt;0,J126&gt;0),"營運參考／主管現場協調",IF(I126&gt;0,"營運參考／主管現場協調","本段人力足夠"))</x:f>
        <x:v>本段人力足夠</x:v>
      </x:c>
    </x:row>
    <x:row r="127" ht="42" customHeight="1">
      <x:c r="A127" s="12" t="n">
        <x:v>46284</x:v>
      </x:c>
      <x:c r="B127" s="13" t="n">
        <x:v>0.4375</x:v>
      </x:c>
      <x:c r="C127" s="13" t="n">
        <x:v>0.4583333333333333</x:v>
      </x:c>
      <x:c r="D127" s="2" t="str">
        <x:v>開店</x:v>
      </x:c>
      <x:c r="E127" s="2" t="n">
        <x:v>1</x:v>
      </x:c>
      <x:c r="F127" s="2" t="n">
        <x:v>1</x:v>
      </x:c>
      <x:c r="G127" s="2" t="n">
        <x:f>IF(AND('班次明細'!$L$11&gt;0,$B127&gt;='班次明細'!$G$11,$C127&lt;='班次明細'!$H$11,OR('班次明細'!$K$11=0,$C127&lt;='班次明細'!$I$11,$B127&gt;='班次明細'!$J$11)),1,0)+IF(AND('班次明細'!$L$18&gt;0,$B127&gt;='班次明細'!$G$18,$C127&lt;='班次明細'!$H$18,OR('班次明細'!$K$18=0,$C127&lt;='班次明細'!$I$18,$B127&gt;='班次明細'!$J$18)),1,0)+IF(AND('班次明細'!$L$25&gt;0,$B127&gt;='班次明細'!$G$25,$C127&lt;='班次明細'!$H$25,OR('班次明細'!$K$25=0,$C127&lt;='班次明細'!$I$25,$B127&gt;='班次明細'!$J$25)),1,0)+IF(AND('班次明細'!$L$32&gt;0,$B127&gt;='班次明細'!$G$32,$C127&lt;='班次明細'!$H$32,OR('班次明細'!$K$32=0,$C127&lt;='班次明細'!$I$32,$B127&gt;='班次明細'!$J$32)),1,0)+IF(AND('班次明細'!$L$39&gt;0,$B127&gt;='班次明細'!$G$39,$C127&lt;='班次明細'!$H$39,OR('班次明細'!$K$39=0,$C127&lt;='班次明細'!$I$39,$B127&gt;='班次明細'!$J$39)),1,0)+IF(AND('班次明細'!$L$46&gt;0,$B127&gt;='班次明細'!$G$46,$C127&lt;='班次明細'!$H$46,OR('班次明細'!$K$46=0,$C127&lt;='班次明細'!$I$46,$B127&gt;='班次明細'!$J$46)),1,0)+IF(AND('班次明細'!$L$53&gt;0,$B127&gt;='班次明細'!$G$53,$C127&lt;='班次明細'!$H$53,OR('班次明細'!$K$53=0,$C127&lt;='班次明細'!$I$53,$B127&gt;='班次明細'!$J$53)),1,0)+IF(AND('班次明細'!$L$60&gt;0,$B127&gt;='班次明細'!$G$60,$C127&lt;='班次明細'!$H$60,OR('班次明細'!$K$60=0,$C127&lt;='班次明細'!$I$60,$B127&gt;='班次明細'!$J$60)),1,0)+IF(AND('班次明細'!$L$67&gt;0,$B127&gt;='班次明細'!$G$67,$C127&lt;='班次明細'!$H$67,OR('班次明細'!$K$67=0,$C127&lt;='班次明細'!$I$67,$B127&gt;='班次明細'!$J$67)),1,0)+IF(AND('班次明細'!$L$74&gt;0,$B127&gt;='班次明細'!$G$74,$C127&lt;='班次明細'!$H$74,OR('班次明細'!$K$74=0,$C127&lt;='班次明細'!$I$74,$B127&gt;='班次明細'!$J$74)),1,0)+IF(AND('班次明細'!$L$81&gt;0,$B127&gt;='班次明細'!$G$81,$C127&lt;='班次明細'!$H$81,OR('班次明細'!$K$81=0,$C127&lt;='班次明細'!$I$81,$B127&gt;='班次明細'!$J$81)),1,0)</x:f>
        <x:v>1</x:v>
      </x:c>
      <x:c r="H127" s="2" t="n">
        <x:f>MAX(0,E127-G127)</x:f>
        <x:v>0</x:v>
      </x:c>
      <x:c r="I127" s="2" t="n">
        <x:f>IF(F127="",0,MAX(0,G127-F127))</x:f>
        <x:v>0</x:v>
      </x:c>
      <x:c r="J127" s="2" t="n">
        <x:v>0</x:v>
      </x:c>
      <x:c r="K127" s="11" t="str"/>
      <x:c r="L127" s="11" t="str">
        <x:f>IF(OR(H127&gt;0,J127&gt;0),"營運參考／主管現場協調",IF(I127&gt;0,"營運參考／主管現場協調","本段人力足夠"))</x:f>
        <x:v>本段人力足夠</x:v>
      </x:c>
    </x:row>
    <x:row r="128" ht="42" customHeight="1">
      <x:c r="A128" s="12" t="n">
        <x:v>46284</x:v>
      </x:c>
      <x:c r="B128" s="13" t="n">
        <x:v>0.4583333333333333</x:v>
      </x:c>
      <x:c r="C128" s="13" t="n">
        <x:v>0.4791666666666667</x:v>
      </x:c>
      <x:c r="D128" s="2" t="str">
        <x:v>假日離峰</x:v>
      </x:c>
      <x:c r="E128" s="2" t="n">
        <x:v>3</x:v>
      </x:c>
      <x:c r="F128" s="2"/>
      <x:c r="G128" s="2" t="n">
        <x:f>IF(AND('班次明細'!$L$11&gt;0,$B128&gt;='班次明細'!$G$11,$C128&lt;='班次明細'!$H$11,OR('班次明細'!$K$11=0,$C128&lt;='班次明細'!$I$11,$B128&gt;='班次明細'!$J$11)),1,0)+IF(AND('班次明細'!$L$18&gt;0,$B128&gt;='班次明細'!$G$18,$C128&lt;='班次明細'!$H$18,OR('班次明細'!$K$18=0,$C128&lt;='班次明細'!$I$18,$B128&gt;='班次明細'!$J$18)),1,0)+IF(AND('班次明細'!$L$25&gt;0,$B128&gt;='班次明細'!$G$25,$C128&lt;='班次明細'!$H$25,OR('班次明細'!$K$25=0,$C128&lt;='班次明細'!$I$25,$B128&gt;='班次明細'!$J$25)),1,0)+IF(AND('班次明細'!$L$32&gt;0,$B128&gt;='班次明細'!$G$32,$C128&lt;='班次明細'!$H$32,OR('班次明細'!$K$32=0,$C128&lt;='班次明細'!$I$32,$B128&gt;='班次明細'!$J$32)),1,0)+IF(AND('班次明細'!$L$39&gt;0,$B128&gt;='班次明細'!$G$39,$C128&lt;='班次明細'!$H$39,OR('班次明細'!$K$39=0,$C128&lt;='班次明細'!$I$39,$B128&gt;='班次明細'!$J$39)),1,0)+IF(AND('班次明細'!$L$46&gt;0,$B128&gt;='班次明細'!$G$46,$C128&lt;='班次明細'!$H$46,OR('班次明細'!$K$46=0,$C128&lt;='班次明細'!$I$46,$B128&gt;='班次明細'!$J$46)),1,0)+IF(AND('班次明細'!$L$53&gt;0,$B128&gt;='班次明細'!$G$53,$C128&lt;='班次明細'!$H$53,OR('班次明細'!$K$53=0,$C128&lt;='班次明細'!$I$53,$B128&gt;='班次明細'!$J$53)),1,0)+IF(AND('班次明細'!$L$60&gt;0,$B128&gt;='班次明細'!$G$60,$C128&lt;='班次明細'!$H$60,OR('班次明細'!$K$60=0,$C128&lt;='班次明細'!$I$60,$B128&gt;='班次明細'!$J$60)),1,0)+IF(AND('班次明細'!$L$67&gt;0,$B128&gt;='班次明細'!$G$67,$C128&lt;='班次明細'!$H$67,OR('班次明細'!$K$67=0,$C128&lt;='班次明細'!$I$67,$B128&gt;='班次明細'!$J$67)),1,0)+IF(AND('班次明細'!$L$74&gt;0,$B128&gt;='班次明細'!$G$74,$C128&lt;='班次明細'!$H$74,OR('班次明細'!$K$74=0,$C128&lt;='班次明細'!$I$74,$B128&gt;='班次明細'!$J$74)),1,0)+IF(AND('班次明細'!$L$81&gt;0,$B128&gt;='班次明細'!$G$81,$C128&lt;='班次明細'!$H$81,OR('班次明細'!$K$81=0,$C128&lt;='班次明細'!$I$81,$B128&gt;='班次明細'!$J$81)),1,0)</x:f>
        <x:v>3</x:v>
      </x:c>
      <x:c r="H128" s="2" t="n">
        <x:f>MAX(0,E128-G128)</x:f>
        <x:v>0</x:v>
      </x:c>
      <x:c r="I128" s="2" t="n">
        <x:f>IF(F128="",0,MAX(0,G128-F128))</x:f>
        <x:v>0</x:v>
      </x:c>
      <x:c r="J128" s="2" t="n">
        <x:v>0</x:v>
      </x:c>
      <x:c r="K128" s="11" t="str"/>
      <x:c r="L128" s="11" t="str">
        <x:f>IF(OR(H128&gt;0,J128&gt;0),"營運參考／主管現場協調",IF(I128&gt;0,"營運參考／主管現場協調","本段人力足夠"))</x:f>
        <x:v>本段人力足夠</x:v>
      </x:c>
    </x:row>
    <x:row r="129" ht="42" customHeight="1">
      <x:c r="A129" s="12" t="n">
        <x:v>46284</x:v>
      </x:c>
      <x:c r="B129" s="13" t="n">
        <x:v>0.4791666666666667</x:v>
      </x:c>
      <x:c r="C129" s="13" t="n">
        <x:v>0.5</x:v>
      </x:c>
      <x:c r="D129" s="2" t="str">
        <x:v>假日午峰</x:v>
      </x:c>
      <x:c r="E129" s="2" t="n">
        <x:v>6</x:v>
      </x:c>
      <x:c r="F129" s="2" t="n">
        <x:v>7</x:v>
      </x:c>
      <x:c r="G129" s="2" t="n">
        <x:f>IF(AND('班次明細'!$L$11&gt;0,$B129&gt;='班次明細'!$G$11,$C129&lt;='班次明細'!$H$11,OR('班次明細'!$K$11=0,$C129&lt;='班次明細'!$I$11,$B129&gt;='班次明細'!$J$11)),1,0)+IF(AND('班次明細'!$L$18&gt;0,$B129&gt;='班次明細'!$G$18,$C129&lt;='班次明細'!$H$18,OR('班次明細'!$K$18=0,$C129&lt;='班次明細'!$I$18,$B129&gt;='班次明細'!$J$18)),1,0)+IF(AND('班次明細'!$L$25&gt;0,$B129&gt;='班次明細'!$G$25,$C129&lt;='班次明細'!$H$25,OR('班次明細'!$K$25=0,$C129&lt;='班次明細'!$I$25,$B129&gt;='班次明細'!$J$25)),1,0)+IF(AND('班次明細'!$L$32&gt;0,$B129&gt;='班次明細'!$G$32,$C129&lt;='班次明細'!$H$32,OR('班次明細'!$K$32=0,$C129&lt;='班次明細'!$I$32,$B129&gt;='班次明細'!$J$32)),1,0)+IF(AND('班次明細'!$L$39&gt;0,$B129&gt;='班次明細'!$G$39,$C129&lt;='班次明細'!$H$39,OR('班次明細'!$K$39=0,$C129&lt;='班次明細'!$I$39,$B129&gt;='班次明細'!$J$39)),1,0)+IF(AND('班次明細'!$L$46&gt;0,$B129&gt;='班次明細'!$G$46,$C129&lt;='班次明細'!$H$46,OR('班次明細'!$K$46=0,$C129&lt;='班次明細'!$I$46,$B129&gt;='班次明細'!$J$46)),1,0)+IF(AND('班次明細'!$L$53&gt;0,$B129&gt;='班次明細'!$G$53,$C129&lt;='班次明細'!$H$53,OR('班次明細'!$K$53=0,$C129&lt;='班次明細'!$I$53,$B129&gt;='班次明細'!$J$53)),1,0)+IF(AND('班次明細'!$L$60&gt;0,$B129&gt;='班次明細'!$G$60,$C129&lt;='班次明細'!$H$60,OR('班次明細'!$K$60=0,$C129&lt;='班次明細'!$I$60,$B129&gt;='班次明細'!$J$60)),1,0)+IF(AND('班次明細'!$L$67&gt;0,$B129&gt;='班次明細'!$G$67,$C129&lt;='班次明細'!$H$67,OR('班次明細'!$K$67=0,$C129&lt;='班次明細'!$I$67,$B129&gt;='班次明細'!$J$67)),1,0)+IF(AND('班次明細'!$L$74&gt;0,$B129&gt;='班次明細'!$G$74,$C129&lt;='班次明細'!$H$74,OR('班次明細'!$K$74=0,$C129&lt;='班次明細'!$I$74,$B129&gt;='班次明細'!$J$74)),1,0)+IF(AND('班次明細'!$L$81&gt;0,$B129&gt;='班次明細'!$G$81,$C129&lt;='班次明細'!$H$81,OR('班次明細'!$K$81=0,$C129&lt;='班次明細'!$I$81,$B129&gt;='班次明細'!$J$81)),1,0)</x:f>
        <x:v>5</x:v>
      </x:c>
      <x:c r="H129" s="2" t="n">
        <x:f>MAX(0,E129-G129)</x:f>
        <x:v>1</x:v>
      </x:c>
      <x:c r="I129" s="2" t="n">
        <x:f>IF(F129="",0,MAX(0,G129-F129))</x:f>
        <x:v>0</x:v>
      </x:c>
      <x:c r="J129" s="2" t="n">
        <x:v>1</x:v>
      </x:c>
      <x:c r="K129" s="11" t="str">
        <x:v>炸區</x:v>
      </x:c>
      <x:c r="L129" s="11" t="str">
        <x:f>IF(OR(H129&gt;0,J129&gt;0),"營運參考／主管現場協調",IF(I129&gt;0,"營運參考／主管現場協調","本段人力足夠"))</x:f>
        <x:v>營運參考／主管現場協調</x:v>
      </x:c>
    </x:row>
    <x:row r="130" ht="42" customHeight="1">
      <x:c r="A130" s="12" t="n">
        <x:v>46284</x:v>
      </x:c>
      <x:c r="B130" s="13" t="n">
        <x:v>0.5</x:v>
      </x:c>
      <x:c r="C130" s="13" t="n">
        <x:v>0.5208333333333334</x:v>
      </x:c>
      <x:c r="D130" s="2" t="str">
        <x:v>假日午峰</x:v>
      </x:c>
      <x:c r="E130" s="2" t="n">
        <x:v>6</x:v>
      </x:c>
      <x:c r="F130" s="2" t="n">
        <x:v>7</x:v>
      </x:c>
      <x:c r="G130" s="2" t="n">
        <x:f>IF(AND('班次明細'!$L$11&gt;0,$B130&gt;='班次明細'!$G$11,$C130&lt;='班次明細'!$H$11,OR('班次明細'!$K$11=0,$C130&lt;='班次明細'!$I$11,$B130&gt;='班次明細'!$J$11)),1,0)+IF(AND('班次明細'!$L$18&gt;0,$B130&gt;='班次明細'!$G$18,$C130&lt;='班次明細'!$H$18,OR('班次明細'!$K$18=0,$C130&lt;='班次明細'!$I$18,$B130&gt;='班次明細'!$J$18)),1,0)+IF(AND('班次明細'!$L$25&gt;0,$B130&gt;='班次明細'!$G$25,$C130&lt;='班次明細'!$H$25,OR('班次明細'!$K$25=0,$C130&lt;='班次明細'!$I$25,$B130&gt;='班次明細'!$J$25)),1,0)+IF(AND('班次明細'!$L$32&gt;0,$B130&gt;='班次明細'!$G$32,$C130&lt;='班次明細'!$H$32,OR('班次明細'!$K$32=0,$C130&lt;='班次明細'!$I$32,$B130&gt;='班次明細'!$J$32)),1,0)+IF(AND('班次明細'!$L$39&gt;0,$B130&gt;='班次明細'!$G$39,$C130&lt;='班次明細'!$H$39,OR('班次明細'!$K$39=0,$C130&lt;='班次明細'!$I$39,$B130&gt;='班次明細'!$J$39)),1,0)+IF(AND('班次明細'!$L$46&gt;0,$B130&gt;='班次明細'!$G$46,$C130&lt;='班次明細'!$H$46,OR('班次明細'!$K$46=0,$C130&lt;='班次明細'!$I$46,$B130&gt;='班次明細'!$J$46)),1,0)+IF(AND('班次明細'!$L$53&gt;0,$B130&gt;='班次明細'!$G$53,$C130&lt;='班次明細'!$H$53,OR('班次明細'!$K$53=0,$C130&lt;='班次明細'!$I$53,$B130&gt;='班次明細'!$J$53)),1,0)+IF(AND('班次明細'!$L$60&gt;0,$B130&gt;='班次明細'!$G$60,$C130&lt;='班次明細'!$H$60,OR('班次明細'!$K$60=0,$C130&lt;='班次明細'!$I$60,$B130&gt;='班次明細'!$J$60)),1,0)+IF(AND('班次明細'!$L$67&gt;0,$B130&gt;='班次明細'!$G$67,$C130&lt;='班次明細'!$H$67,OR('班次明細'!$K$67=0,$C130&lt;='班次明細'!$I$67,$B130&gt;='班次明細'!$J$67)),1,0)+IF(AND('班次明細'!$L$74&gt;0,$B130&gt;='班次明細'!$G$74,$C130&lt;='班次明細'!$H$74,OR('班次明細'!$K$74=0,$C130&lt;='班次明細'!$I$74,$B130&gt;='班次明細'!$J$74)),1,0)+IF(AND('班次明細'!$L$81&gt;0,$B130&gt;='班次明細'!$G$81,$C130&lt;='班次明細'!$H$81,OR('班次明細'!$K$81=0,$C130&lt;='班次明細'!$I$81,$B130&gt;='班次明細'!$J$81)),1,0)</x:f>
        <x:v>6</x:v>
      </x:c>
      <x:c r="H130" s="2" t="n">
        <x:f>MAX(0,E130-G130)</x:f>
        <x:v>0</x:v>
      </x:c>
      <x:c r="I130" s="2" t="n">
        <x:f>IF(F130="",0,MAX(0,G130-F130))</x:f>
        <x:v>0</x:v>
      </x:c>
      <x:c r="J130" s="2" t="n">
        <x:v>0</x:v>
      </x:c>
      <x:c r="K130" s="11" t="str"/>
      <x:c r="L130" s="11" t="str">
        <x:f>IF(OR(H130&gt;0,J130&gt;0),"營運參考／主管現場協調",IF(I130&gt;0,"營運參考／主管現場協調","本段人力足夠"))</x:f>
        <x:v>本段人力足夠</x:v>
      </x:c>
    </x:row>
    <x:row r="131" ht="42" customHeight="1">
      <x:c r="A131" s="12" t="n">
        <x:v>46284</x:v>
      </x:c>
      <x:c r="B131" s="13" t="n">
        <x:v>0.5208333333333334</x:v>
      </x:c>
      <x:c r="C131" s="13" t="n">
        <x:v>0.5416666666666666</x:v>
      </x:c>
      <x:c r="D131" s="2" t="str">
        <x:v>假日午峰</x:v>
      </x:c>
      <x:c r="E131" s="2" t="n">
        <x:v>6</x:v>
      </x:c>
      <x:c r="F131" s="2" t="n">
        <x:v>7</x:v>
      </x:c>
      <x:c r="G131" s="2" t="n">
        <x:f>IF(AND('班次明細'!$L$11&gt;0,$B131&gt;='班次明細'!$G$11,$C131&lt;='班次明細'!$H$11,OR('班次明細'!$K$11=0,$C131&lt;='班次明細'!$I$11,$B131&gt;='班次明細'!$J$11)),1,0)+IF(AND('班次明細'!$L$18&gt;0,$B131&gt;='班次明細'!$G$18,$C131&lt;='班次明細'!$H$18,OR('班次明細'!$K$18=0,$C131&lt;='班次明細'!$I$18,$B131&gt;='班次明細'!$J$18)),1,0)+IF(AND('班次明細'!$L$25&gt;0,$B131&gt;='班次明細'!$G$25,$C131&lt;='班次明細'!$H$25,OR('班次明細'!$K$25=0,$C131&lt;='班次明細'!$I$25,$B131&gt;='班次明細'!$J$25)),1,0)+IF(AND('班次明細'!$L$32&gt;0,$B131&gt;='班次明細'!$G$32,$C131&lt;='班次明細'!$H$32,OR('班次明細'!$K$32=0,$C131&lt;='班次明細'!$I$32,$B131&gt;='班次明細'!$J$32)),1,0)+IF(AND('班次明細'!$L$39&gt;0,$B131&gt;='班次明細'!$G$39,$C131&lt;='班次明細'!$H$39,OR('班次明細'!$K$39=0,$C131&lt;='班次明細'!$I$39,$B131&gt;='班次明細'!$J$39)),1,0)+IF(AND('班次明細'!$L$46&gt;0,$B131&gt;='班次明細'!$G$46,$C131&lt;='班次明細'!$H$46,OR('班次明細'!$K$46=0,$C131&lt;='班次明細'!$I$46,$B131&gt;='班次明細'!$J$46)),1,0)+IF(AND('班次明細'!$L$53&gt;0,$B131&gt;='班次明細'!$G$53,$C131&lt;='班次明細'!$H$53,OR('班次明細'!$K$53=0,$C131&lt;='班次明細'!$I$53,$B131&gt;='班次明細'!$J$53)),1,0)+IF(AND('班次明細'!$L$60&gt;0,$B131&gt;='班次明細'!$G$60,$C131&lt;='班次明細'!$H$60,OR('班次明細'!$K$60=0,$C131&lt;='班次明細'!$I$60,$B131&gt;='班次明細'!$J$60)),1,0)+IF(AND('班次明細'!$L$67&gt;0,$B131&gt;='班次明細'!$G$67,$C131&lt;='班次明細'!$H$67,OR('班次明細'!$K$67=0,$C131&lt;='班次明細'!$I$67,$B131&gt;='班次明細'!$J$67)),1,0)+IF(AND('班次明細'!$L$74&gt;0,$B131&gt;='班次明細'!$G$74,$C131&lt;='班次明細'!$H$74,OR('班次明細'!$K$74=0,$C131&lt;='班次明細'!$I$74,$B131&gt;='班次明細'!$J$74)),1,0)+IF(AND('班次明細'!$L$81&gt;0,$B131&gt;='班次明細'!$G$81,$C131&lt;='班次明細'!$H$81,OR('班次明細'!$K$81=0,$C131&lt;='班次明細'!$I$81,$B131&gt;='班次明細'!$J$81)),1,0)</x:f>
        <x:v>6</x:v>
      </x:c>
      <x:c r="H131" s="2" t="n">
        <x:f>MAX(0,E131-G131)</x:f>
        <x:v>0</x:v>
      </x:c>
      <x:c r="I131" s="2" t="n">
        <x:f>IF(F131="",0,MAX(0,G131-F131))</x:f>
        <x:v>0</x:v>
      </x:c>
      <x:c r="J131" s="2" t="n">
        <x:v>0</x:v>
      </x:c>
      <x:c r="K131" s="11" t="str"/>
      <x:c r="L131" s="11" t="str">
        <x:f>IF(OR(H131&gt;0,J131&gt;0),"營運參考／主管現場協調",IF(I131&gt;0,"營運參考／主管現場協調","本段人力足夠"))</x:f>
        <x:v>本段人力足夠</x:v>
      </x:c>
    </x:row>
    <x:row r="132" ht="42" customHeight="1">
      <x:c r="A132" s="12" t="n">
        <x:v>46284</x:v>
      </x:c>
      <x:c r="B132" s="13" t="n">
        <x:v>0.5416666666666666</x:v>
      </x:c>
      <x:c r="C132" s="13" t="n">
        <x:v>0.5625</x:v>
      </x:c>
      <x:c r="D132" s="2" t="str">
        <x:v>假日午峰</x:v>
      </x:c>
      <x:c r="E132" s="2" t="n">
        <x:v>6</x:v>
      </x:c>
      <x:c r="F132" s="2" t="n">
        <x:v>7</x:v>
      </x:c>
      <x:c r="G132" s="2" t="n">
        <x:f>IF(AND('班次明細'!$L$11&gt;0,$B132&gt;='班次明細'!$G$11,$C132&lt;='班次明細'!$H$11,OR('班次明細'!$K$11=0,$C132&lt;='班次明細'!$I$11,$B132&gt;='班次明細'!$J$11)),1,0)+IF(AND('班次明細'!$L$18&gt;0,$B132&gt;='班次明細'!$G$18,$C132&lt;='班次明細'!$H$18,OR('班次明細'!$K$18=0,$C132&lt;='班次明細'!$I$18,$B132&gt;='班次明細'!$J$18)),1,0)+IF(AND('班次明細'!$L$25&gt;0,$B132&gt;='班次明細'!$G$25,$C132&lt;='班次明細'!$H$25,OR('班次明細'!$K$25=0,$C132&lt;='班次明細'!$I$25,$B132&gt;='班次明細'!$J$25)),1,0)+IF(AND('班次明細'!$L$32&gt;0,$B132&gt;='班次明細'!$G$32,$C132&lt;='班次明細'!$H$32,OR('班次明細'!$K$32=0,$C132&lt;='班次明細'!$I$32,$B132&gt;='班次明細'!$J$32)),1,0)+IF(AND('班次明細'!$L$39&gt;0,$B132&gt;='班次明細'!$G$39,$C132&lt;='班次明細'!$H$39,OR('班次明細'!$K$39=0,$C132&lt;='班次明細'!$I$39,$B132&gt;='班次明細'!$J$39)),1,0)+IF(AND('班次明細'!$L$46&gt;0,$B132&gt;='班次明細'!$G$46,$C132&lt;='班次明細'!$H$46,OR('班次明細'!$K$46=0,$C132&lt;='班次明細'!$I$46,$B132&gt;='班次明細'!$J$46)),1,0)+IF(AND('班次明細'!$L$53&gt;0,$B132&gt;='班次明細'!$G$53,$C132&lt;='班次明細'!$H$53,OR('班次明細'!$K$53=0,$C132&lt;='班次明細'!$I$53,$B132&gt;='班次明細'!$J$53)),1,0)+IF(AND('班次明細'!$L$60&gt;0,$B132&gt;='班次明細'!$G$60,$C132&lt;='班次明細'!$H$60,OR('班次明細'!$K$60=0,$C132&lt;='班次明細'!$I$60,$B132&gt;='班次明細'!$J$60)),1,0)+IF(AND('班次明細'!$L$67&gt;0,$B132&gt;='班次明細'!$G$67,$C132&lt;='班次明細'!$H$67,OR('班次明細'!$K$67=0,$C132&lt;='班次明細'!$I$67,$B132&gt;='班次明細'!$J$67)),1,0)+IF(AND('班次明細'!$L$74&gt;0,$B132&gt;='班次明細'!$G$74,$C132&lt;='班次明細'!$H$74,OR('班次明細'!$K$74=0,$C132&lt;='班次明細'!$I$74,$B132&gt;='班次明細'!$J$74)),1,0)+IF(AND('班次明細'!$L$81&gt;0,$B132&gt;='班次明細'!$G$81,$C132&lt;='班次明細'!$H$81,OR('班次明細'!$K$81=0,$C132&lt;='班次明細'!$I$81,$B132&gt;='班次明細'!$J$81)),1,0)</x:f>
        <x:v>6</x:v>
      </x:c>
      <x:c r="H132" s="2" t="n">
        <x:f>MAX(0,E132-G132)</x:f>
        <x:v>0</x:v>
      </x:c>
      <x:c r="I132" s="2" t="n">
        <x:f>IF(F132="",0,MAX(0,G132-F132))</x:f>
        <x:v>0</x:v>
      </x:c>
      <x:c r="J132" s="2" t="n">
        <x:v>0</x:v>
      </x:c>
      <x:c r="K132" s="11" t="str"/>
      <x:c r="L132" s="11" t="str">
        <x:f>IF(OR(H132&gt;0,J132&gt;0),"營運參考／主管現場協調",IF(I132&gt;0,"營運參考／主管現場協調","本段人力足夠"))</x:f>
        <x:v>本段人力足夠</x:v>
      </x:c>
    </x:row>
    <x:row r="133" ht="42" customHeight="1">
      <x:c r="A133" s="12" t="n">
        <x:v>46284</x:v>
      </x:c>
      <x:c r="B133" s="13" t="n">
        <x:v>0.5625</x:v>
      </x:c>
      <x:c r="C133" s="13" t="n">
        <x:v>0.5833333333333334</x:v>
      </x:c>
      <x:c r="D133" s="2" t="str">
        <x:v>假日午峰</x:v>
      </x:c>
      <x:c r="E133" s="2" t="n">
        <x:v>6</x:v>
      </x:c>
      <x:c r="F133" s="2" t="n">
        <x:v>7</x:v>
      </x:c>
      <x:c r="G133" s="2" t="n">
        <x:f>IF(AND('班次明細'!$L$11&gt;0,$B133&gt;='班次明細'!$G$11,$C133&lt;='班次明細'!$H$11,OR('班次明細'!$K$11=0,$C133&lt;='班次明細'!$I$11,$B133&gt;='班次明細'!$J$11)),1,0)+IF(AND('班次明細'!$L$18&gt;0,$B133&gt;='班次明細'!$G$18,$C133&lt;='班次明細'!$H$18,OR('班次明細'!$K$18=0,$C133&lt;='班次明細'!$I$18,$B133&gt;='班次明細'!$J$18)),1,0)+IF(AND('班次明細'!$L$25&gt;0,$B133&gt;='班次明細'!$G$25,$C133&lt;='班次明細'!$H$25,OR('班次明細'!$K$25=0,$C133&lt;='班次明細'!$I$25,$B133&gt;='班次明細'!$J$25)),1,0)+IF(AND('班次明細'!$L$32&gt;0,$B133&gt;='班次明細'!$G$32,$C133&lt;='班次明細'!$H$32,OR('班次明細'!$K$32=0,$C133&lt;='班次明細'!$I$32,$B133&gt;='班次明細'!$J$32)),1,0)+IF(AND('班次明細'!$L$39&gt;0,$B133&gt;='班次明細'!$G$39,$C133&lt;='班次明細'!$H$39,OR('班次明細'!$K$39=0,$C133&lt;='班次明細'!$I$39,$B133&gt;='班次明細'!$J$39)),1,0)+IF(AND('班次明細'!$L$46&gt;0,$B133&gt;='班次明細'!$G$46,$C133&lt;='班次明細'!$H$46,OR('班次明細'!$K$46=0,$C133&lt;='班次明細'!$I$46,$B133&gt;='班次明細'!$J$46)),1,0)+IF(AND('班次明細'!$L$53&gt;0,$B133&gt;='班次明細'!$G$53,$C133&lt;='班次明細'!$H$53,OR('班次明細'!$K$53=0,$C133&lt;='班次明細'!$I$53,$B133&gt;='班次明細'!$J$53)),1,0)+IF(AND('班次明細'!$L$60&gt;0,$B133&gt;='班次明細'!$G$60,$C133&lt;='班次明細'!$H$60,OR('班次明細'!$K$60=0,$C133&lt;='班次明細'!$I$60,$B133&gt;='班次明細'!$J$60)),1,0)+IF(AND('班次明細'!$L$67&gt;0,$B133&gt;='班次明細'!$G$67,$C133&lt;='班次明細'!$H$67,OR('班次明細'!$K$67=0,$C133&lt;='班次明細'!$I$67,$B133&gt;='班次明細'!$J$67)),1,0)+IF(AND('班次明細'!$L$74&gt;0,$B133&gt;='班次明細'!$G$74,$C133&lt;='班次明細'!$H$74,OR('班次明細'!$K$74=0,$C133&lt;='班次明細'!$I$74,$B133&gt;='班次明細'!$J$74)),1,0)+IF(AND('班次明細'!$L$81&gt;0,$B133&gt;='班次明細'!$G$81,$C133&lt;='班次明細'!$H$81,OR('班次明細'!$K$81=0,$C133&lt;='班次明細'!$I$81,$B133&gt;='班次明細'!$J$81)),1,0)</x:f>
        <x:v>6</x:v>
      </x:c>
      <x:c r="H133" s="2" t="n">
        <x:f>MAX(0,E133-G133)</x:f>
        <x:v>0</x:v>
      </x:c>
      <x:c r="I133" s="2" t="n">
        <x:f>IF(F133="",0,MAX(0,G133-F133))</x:f>
        <x:v>0</x:v>
      </x:c>
      <x:c r="J133" s="2" t="n">
        <x:v>0</x:v>
      </x:c>
      <x:c r="K133" s="11" t="str"/>
      <x:c r="L133" s="11" t="str">
        <x:f>IF(OR(H133&gt;0,J133&gt;0),"營運參考／主管現場協調",IF(I133&gt;0,"營運參考／主管現場協調","本段人力足夠"))</x:f>
        <x:v>本段人力足夠</x:v>
      </x:c>
    </x:row>
    <x:row r="134" ht="42" customHeight="1">
      <x:c r="A134" s="12" t="n">
        <x:v>46284</x:v>
      </x:c>
      <x:c r="B134" s="13" t="n">
        <x:v>0.5833333333333334</x:v>
      </x:c>
      <x:c r="C134" s="13" t="n">
        <x:v>0.6041666666666666</x:v>
      </x:c>
      <x:c r="D134" s="2" t="str">
        <x:v>假日午峰</x:v>
      </x:c>
      <x:c r="E134" s="2" t="n">
        <x:v>6</x:v>
      </x:c>
      <x:c r="F134" s="2" t="n">
        <x:v>7</x:v>
      </x:c>
      <x:c r="G134" s="2" t="n">
        <x:f>IF(AND('班次明細'!$L$11&gt;0,$B134&gt;='班次明細'!$G$11,$C134&lt;='班次明細'!$H$11,OR('班次明細'!$K$11=0,$C134&lt;='班次明細'!$I$11,$B134&gt;='班次明細'!$J$11)),1,0)+IF(AND('班次明細'!$L$18&gt;0,$B134&gt;='班次明細'!$G$18,$C134&lt;='班次明細'!$H$18,OR('班次明細'!$K$18=0,$C134&lt;='班次明細'!$I$18,$B134&gt;='班次明細'!$J$18)),1,0)+IF(AND('班次明細'!$L$25&gt;0,$B134&gt;='班次明細'!$G$25,$C134&lt;='班次明細'!$H$25,OR('班次明細'!$K$25=0,$C134&lt;='班次明細'!$I$25,$B134&gt;='班次明細'!$J$25)),1,0)+IF(AND('班次明細'!$L$32&gt;0,$B134&gt;='班次明細'!$G$32,$C134&lt;='班次明細'!$H$32,OR('班次明細'!$K$32=0,$C134&lt;='班次明細'!$I$32,$B134&gt;='班次明細'!$J$32)),1,0)+IF(AND('班次明細'!$L$39&gt;0,$B134&gt;='班次明細'!$G$39,$C134&lt;='班次明細'!$H$39,OR('班次明細'!$K$39=0,$C134&lt;='班次明細'!$I$39,$B134&gt;='班次明細'!$J$39)),1,0)+IF(AND('班次明細'!$L$46&gt;0,$B134&gt;='班次明細'!$G$46,$C134&lt;='班次明細'!$H$46,OR('班次明細'!$K$46=0,$C134&lt;='班次明細'!$I$46,$B134&gt;='班次明細'!$J$46)),1,0)+IF(AND('班次明細'!$L$53&gt;0,$B134&gt;='班次明細'!$G$53,$C134&lt;='班次明細'!$H$53,OR('班次明細'!$K$53=0,$C134&lt;='班次明細'!$I$53,$B134&gt;='班次明細'!$J$53)),1,0)+IF(AND('班次明細'!$L$60&gt;0,$B134&gt;='班次明細'!$G$60,$C134&lt;='班次明細'!$H$60,OR('班次明細'!$K$60=0,$C134&lt;='班次明細'!$I$60,$B134&gt;='班次明細'!$J$60)),1,0)+IF(AND('班次明細'!$L$67&gt;0,$B134&gt;='班次明細'!$G$67,$C134&lt;='班次明細'!$H$67,OR('班次明細'!$K$67=0,$C134&lt;='班次明細'!$I$67,$B134&gt;='班次明細'!$J$67)),1,0)+IF(AND('班次明細'!$L$74&gt;0,$B134&gt;='班次明細'!$G$74,$C134&lt;='班次明細'!$H$74,OR('班次明細'!$K$74=0,$C134&lt;='班次明細'!$I$74,$B134&gt;='班次明細'!$J$74)),1,0)+IF(AND('班次明細'!$L$81&gt;0,$B134&gt;='班次明細'!$G$81,$C134&lt;='班次明細'!$H$81,OR('班次明細'!$K$81=0,$C134&lt;='班次明細'!$I$81,$B134&gt;='班次明細'!$J$81)),1,0)</x:f>
        <x:v>5</x:v>
      </x:c>
      <x:c r="H134" s="2" t="n">
        <x:f>MAX(0,E134-G134)</x:f>
        <x:v>1</x:v>
      </x:c>
      <x:c r="I134" s="2" t="n">
        <x:f>IF(F134="",0,MAX(0,G134-F134))</x:f>
        <x:v>0</x:v>
      </x:c>
      <x:c r="J134" s="2" t="n">
        <x:v>1</x:v>
      </x:c>
      <x:c r="K134" s="11" t="str">
        <x:v>外場</x:v>
      </x:c>
      <x:c r="L134" s="11" t="str">
        <x:f>IF(OR(H134&gt;0,J134&gt;0),"營運參考／主管現場協調",IF(I134&gt;0,"營運參考／主管現場協調","本段人力足夠"))</x:f>
        <x:v>營運參考／主管現場協調</x:v>
      </x:c>
    </x:row>
    <x:row r="135" ht="42" customHeight="1">
      <x:c r="A135" s="12" t="n">
        <x:v>46284</x:v>
      </x:c>
      <x:c r="B135" s="13" t="n">
        <x:v>0.6041666666666666</x:v>
      </x:c>
      <x:c r="C135" s="13" t="n">
        <x:v>0.625</x:v>
      </x:c>
      <x:c r="D135" s="2" t="str">
        <x:v>假日離峰</x:v>
      </x:c>
      <x:c r="E135" s="2" t="n">
        <x:v>3</x:v>
      </x:c>
      <x:c r="F135" s="2"/>
      <x:c r="G135" s="2" t="n">
        <x:f>IF(AND('班次明細'!$L$11&gt;0,$B135&gt;='班次明細'!$G$11,$C135&lt;='班次明細'!$H$11,OR('班次明細'!$K$11=0,$C135&lt;='班次明細'!$I$11,$B135&gt;='班次明細'!$J$11)),1,0)+IF(AND('班次明細'!$L$18&gt;0,$B135&gt;='班次明細'!$G$18,$C135&lt;='班次明細'!$H$18,OR('班次明細'!$K$18=0,$C135&lt;='班次明細'!$I$18,$B135&gt;='班次明細'!$J$18)),1,0)+IF(AND('班次明細'!$L$25&gt;0,$B135&gt;='班次明細'!$G$25,$C135&lt;='班次明細'!$H$25,OR('班次明細'!$K$25=0,$C135&lt;='班次明細'!$I$25,$B135&gt;='班次明細'!$J$25)),1,0)+IF(AND('班次明細'!$L$32&gt;0,$B135&gt;='班次明細'!$G$32,$C135&lt;='班次明細'!$H$32,OR('班次明細'!$K$32=0,$C135&lt;='班次明細'!$I$32,$B135&gt;='班次明細'!$J$32)),1,0)+IF(AND('班次明細'!$L$39&gt;0,$B135&gt;='班次明細'!$G$39,$C135&lt;='班次明細'!$H$39,OR('班次明細'!$K$39=0,$C135&lt;='班次明細'!$I$39,$B135&gt;='班次明細'!$J$39)),1,0)+IF(AND('班次明細'!$L$46&gt;0,$B135&gt;='班次明細'!$G$46,$C135&lt;='班次明細'!$H$46,OR('班次明細'!$K$46=0,$C135&lt;='班次明細'!$I$46,$B135&gt;='班次明細'!$J$46)),1,0)+IF(AND('班次明細'!$L$53&gt;0,$B135&gt;='班次明細'!$G$53,$C135&lt;='班次明細'!$H$53,OR('班次明細'!$K$53=0,$C135&lt;='班次明細'!$I$53,$B135&gt;='班次明細'!$J$53)),1,0)+IF(AND('班次明細'!$L$60&gt;0,$B135&gt;='班次明細'!$G$60,$C135&lt;='班次明細'!$H$60,OR('班次明細'!$K$60=0,$C135&lt;='班次明細'!$I$60,$B135&gt;='班次明細'!$J$60)),1,0)+IF(AND('班次明細'!$L$67&gt;0,$B135&gt;='班次明細'!$G$67,$C135&lt;='班次明細'!$H$67,OR('班次明細'!$K$67=0,$C135&lt;='班次明細'!$I$67,$B135&gt;='班次明細'!$J$67)),1,0)+IF(AND('班次明細'!$L$74&gt;0,$B135&gt;='班次明細'!$G$74,$C135&lt;='班次明細'!$H$74,OR('班次明細'!$K$74=0,$C135&lt;='班次明細'!$I$74,$B135&gt;='班次明細'!$J$74)),1,0)+IF(AND('班次明細'!$L$81&gt;0,$B135&gt;='班次明細'!$G$81,$C135&lt;='班次明細'!$H$81,OR('班次明細'!$K$81=0,$C135&lt;='班次明細'!$I$81,$B135&gt;='班次明細'!$J$81)),1,0)</x:f>
        <x:v>5</x:v>
      </x:c>
      <x:c r="H135" s="2" t="n">
        <x:f>MAX(0,E135-G135)</x:f>
        <x:v>0</x:v>
      </x:c>
      <x:c r="I135" s="2" t="n">
        <x:f>IF(F135="",0,MAX(0,G135-F135))</x:f>
        <x:v>0</x:v>
      </x:c>
      <x:c r="J135" s="2" t="n">
        <x:v>0</x:v>
      </x:c>
      <x:c r="K135" s="11" t="str"/>
      <x:c r="L135" s="11" t="str">
        <x:f>IF(OR(H135&gt;0,J135&gt;0),"營運參考／主管現場協調",IF(I135&gt;0,"營運參考／主管現場協調","本段人力足夠"))</x:f>
        <x:v>本段人力足夠</x:v>
      </x:c>
    </x:row>
    <x:row r="136" ht="42" customHeight="1">
      <x:c r="A136" s="12" t="n">
        <x:v>46284</x:v>
      </x:c>
      <x:c r="B136" s="13" t="n">
        <x:v>0.625</x:v>
      </x:c>
      <x:c r="C136" s="13" t="n">
        <x:v>0.6458333333333334</x:v>
      </x:c>
      <x:c r="D136" s="2" t="str">
        <x:v>假日離峰</x:v>
      </x:c>
      <x:c r="E136" s="2" t="n">
        <x:v>3</x:v>
      </x:c>
      <x:c r="F136" s="2"/>
      <x:c r="G136" s="2" t="n">
        <x:f>IF(AND('班次明細'!$L$11&gt;0,$B136&gt;='班次明細'!$G$11,$C136&lt;='班次明細'!$H$11,OR('班次明細'!$K$11=0,$C136&lt;='班次明細'!$I$11,$B136&gt;='班次明細'!$J$11)),1,0)+IF(AND('班次明細'!$L$18&gt;0,$B136&gt;='班次明細'!$G$18,$C136&lt;='班次明細'!$H$18,OR('班次明細'!$K$18=0,$C136&lt;='班次明細'!$I$18,$B136&gt;='班次明細'!$J$18)),1,0)+IF(AND('班次明細'!$L$25&gt;0,$B136&gt;='班次明細'!$G$25,$C136&lt;='班次明細'!$H$25,OR('班次明細'!$K$25=0,$C136&lt;='班次明細'!$I$25,$B136&gt;='班次明細'!$J$25)),1,0)+IF(AND('班次明細'!$L$32&gt;0,$B136&gt;='班次明細'!$G$32,$C136&lt;='班次明細'!$H$32,OR('班次明細'!$K$32=0,$C136&lt;='班次明細'!$I$32,$B136&gt;='班次明細'!$J$32)),1,0)+IF(AND('班次明細'!$L$39&gt;0,$B136&gt;='班次明細'!$G$39,$C136&lt;='班次明細'!$H$39,OR('班次明細'!$K$39=0,$C136&lt;='班次明細'!$I$39,$B136&gt;='班次明細'!$J$39)),1,0)+IF(AND('班次明細'!$L$46&gt;0,$B136&gt;='班次明細'!$G$46,$C136&lt;='班次明細'!$H$46,OR('班次明細'!$K$46=0,$C136&lt;='班次明細'!$I$46,$B136&gt;='班次明細'!$J$46)),1,0)+IF(AND('班次明細'!$L$53&gt;0,$B136&gt;='班次明細'!$G$53,$C136&lt;='班次明細'!$H$53,OR('班次明細'!$K$53=0,$C136&lt;='班次明細'!$I$53,$B136&gt;='班次明細'!$J$53)),1,0)+IF(AND('班次明細'!$L$60&gt;0,$B136&gt;='班次明細'!$G$60,$C136&lt;='班次明細'!$H$60,OR('班次明細'!$K$60=0,$C136&lt;='班次明細'!$I$60,$B136&gt;='班次明細'!$J$60)),1,0)+IF(AND('班次明細'!$L$67&gt;0,$B136&gt;='班次明細'!$G$67,$C136&lt;='班次明細'!$H$67,OR('班次明細'!$K$67=0,$C136&lt;='班次明細'!$I$67,$B136&gt;='班次明細'!$J$67)),1,0)+IF(AND('班次明細'!$L$74&gt;0,$B136&gt;='班次明細'!$G$74,$C136&lt;='班次明細'!$H$74,OR('班次明細'!$K$74=0,$C136&lt;='班次明細'!$I$74,$B136&gt;='班次明細'!$J$74)),1,0)+IF(AND('班次明細'!$L$81&gt;0,$B136&gt;='班次明細'!$G$81,$C136&lt;='班次明細'!$H$81,OR('班次明細'!$K$81=0,$C136&lt;='班次明細'!$I$81,$B136&gt;='班次明細'!$J$81)),1,0)</x:f>
        <x:v>3</x:v>
      </x:c>
      <x:c r="H136" s="2" t="n">
        <x:f>MAX(0,E136-G136)</x:f>
        <x:v>0</x:v>
      </x:c>
      <x:c r="I136" s="2" t="n">
        <x:f>IF(F136="",0,MAX(0,G136-F136))</x:f>
        <x:v>0</x:v>
      </x:c>
      <x:c r="J136" s="2" t="n">
        <x:v>1</x:v>
      </x:c>
      <x:c r="K136" s="11" t="str"/>
      <x:c r="L136" s="11" t="str">
        <x:f>IF(OR(H136&gt;0,J136&gt;0),"營運參考／主管現場協調",IF(I136&gt;0,"營運參考／主管現場協調","本段人力足夠"))</x:f>
        <x:v>營運參考／主管現場協調</x:v>
      </x:c>
    </x:row>
    <x:row r="137" ht="42" customHeight="1">
      <x:c r="A137" s="12" t="n">
        <x:v>46284</x:v>
      </x:c>
      <x:c r="B137" s="13" t="n">
        <x:v>0.6458333333333334</x:v>
      </x:c>
      <x:c r="C137" s="13" t="n">
        <x:v>0.6666666666666666</x:v>
      </x:c>
      <x:c r="D137" s="2" t="str">
        <x:v>假日離峰</x:v>
      </x:c>
      <x:c r="E137" s="2" t="n">
        <x:v>3</x:v>
      </x:c>
      <x:c r="F137" s="2"/>
      <x:c r="G137" s="2" t="n">
        <x:f>IF(AND('班次明細'!$L$11&gt;0,$B137&gt;='班次明細'!$G$11,$C137&lt;='班次明細'!$H$11,OR('班次明細'!$K$11=0,$C137&lt;='班次明細'!$I$11,$B137&gt;='班次明細'!$J$11)),1,0)+IF(AND('班次明細'!$L$18&gt;0,$B137&gt;='班次明細'!$G$18,$C137&lt;='班次明細'!$H$18,OR('班次明細'!$K$18=0,$C137&lt;='班次明細'!$I$18,$B137&gt;='班次明細'!$J$18)),1,0)+IF(AND('班次明細'!$L$25&gt;0,$B137&gt;='班次明細'!$G$25,$C137&lt;='班次明細'!$H$25,OR('班次明細'!$K$25=0,$C137&lt;='班次明細'!$I$25,$B137&gt;='班次明細'!$J$25)),1,0)+IF(AND('班次明細'!$L$32&gt;0,$B137&gt;='班次明細'!$G$32,$C137&lt;='班次明細'!$H$32,OR('班次明細'!$K$32=0,$C137&lt;='班次明細'!$I$32,$B137&gt;='班次明細'!$J$32)),1,0)+IF(AND('班次明細'!$L$39&gt;0,$B137&gt;='班次明細'!$G$39,$C137&lt;='班次明細'!$H$39,OR('班次明細'!$K$39=0,$C137&lt;='班次明細'!$I$39,$B137&gt;='班次明細'!$J$39)),1,0)+IF(AND('班次明細'!$L$46&gt;0,$B137&gt;='班次明細'!$G$46,$C137&lt;='班次明細'!$H$46,OR('班次明細'!$K$46=0,$C137&lt;='班次明細'!$I$46,$B137&gt;='班次明細'!$J$46)),1,0)+IF(AND('班次明細'!$L$53&gt;0,$B137&gt;='班次明細'!$G$53,$C137&lt;='班次明細'!$H$53,OR('班次明細'!$K$53=0,$C137&lt;='班次明細'!$I$53,$B137&gt;='班次明細'!$J$53)),1,0)+IF(AND('班次明細'!$L$60&gt;0,$B137&gt;='班次明細'!$G$60,$C137&lt;='班次明細'!$H$60,OR('班次明細'!$K$60=0,$C137&lt;='班次明細'!$I$60,$B137&gt;='班次明細'!$J$60)),1,0)+IF(AND('班次明細'!$L$67&gt;0,$B137&gt;='班次明細'!$G$67,$C137&lt;='班次明細'!$H$67,OR('班次明細'!$K$67=0,$C137&lt;='班次明細'!$I$67,$B137&gt;='班次明細'!$J$67)),1,0)+IF(AND('班次明細'!$L$74&gt;0,$B137&gt;='班次明細'!$G$74,$C137&lt;='班次明細'!$H$74,OR('班次明細'!$K$74=0,$C137&lt;='班次明細'!$I$74,$B137&gt;='班次明細'!$J$74)),1,0)+IF(AND('班次明細'!$L$81&gt;0,$B137&gt;='班次明細'!$G$81,$C137&lt;='班次明細'!$H$81,OR('班次明細'!$K$81=0,$C137&lt;='班次明細'!$I$81,$B137&gt;='班次明細'!$J$81)),1,0)</x:f>
        <x:v>1</x:v>
      </x:c>
      <x:c r="H137" s="2" t="n">
        <x:f>MAX(0,E137-G137)</x:f>
        <x:v>2</x:v>
      </x:c>
      <x:c r="I137" s="2" t="n">
        <x:f>IF(F137="",0,MAX(0,G137-F137))</x:f>
        <x:v>0</x:v>
      </x:c>
      <x:c r="J137" s="2" t="n">
        <x:v>2</x:v>
      </x:c>
      <x:c r="K137" s="11" t="str"/>
      <x:c r="L137" s="11" t="str">
        <x:f>IF(OR(H137&gt;0,J137&gt;0),"營運參考／主管現場協調",IF(I137&gt;0,"營運參考／主管現場協調","本段人力足夠"))</x:f>
        <x:v>營運參考／主管現場協調</x:v>
      </x:c>
    </x:row>
    <x:row r="138" ht="42" customHeight="1">
      <x:c r="A138" s="12" t="n">
        <x:v>46284</x:v>
      </x:c>
      <x:c r="B138" s="13" t="n">
        <x:v>0.6666666666666666</x:v>
      </x:c>
      <x:c r="C138" s="13" t="n">
        <x:v>0.6875</x:v>
      </x:c>
      <x:c r="D138" s="2" t="str">
        <x:v>假日離峰</x:v>
      </x:c>
      <x:c r="E138" s="2" t="n">
        <x:v>3</x:v>
      </x:c>
      <x:c r="F138" s="2"/>
      <x:c r="G138" s="2" t="n">
        <x:f>IF(AND('班次明細'!$L$11&gt;0,$B138&gt;='班次明細'!$G$11,$C138&lt;='班次明細'!$H$11,OR('班次明細'!$K$11=0,$C138&lt;='班次明細'!$I$11,$B138&gt;='班次明細'!$J$11)),1,0)+IF(AND('班次明細'!$L$18&gt;0,$B138&gt;='班次明細'!$G$18,$C138&lt;='班次明細'!$H$18,OR('班次明細'!$K$18=0,$C138&lt;='班次明細'!$I$18,$B138&gt;='班次明細'!$J$18)),1,0)+IF(AND('班次明細'!$L$25&gt;0,$B138&gt;='班次明細'!$G$25,$C138&lt;='班次明細'!$H$25,OR('班次明細'!$K$25=0,$C138&lt;='班次明細'!$I$25,$B138&gt;='班次明細'!$J$25)),1,0)+IF(AND('班次明細'!$L$32&gt;0,$B138&gt;='班次明細'!$G$32,$C138&lt;='班次明細'!$H$32,OR('班次明細'!$K$32=0,$C138&lt;='班次明細'!$I$32,$B138&gt;='班次明細'!$J$32)),1,0)+IF(AND('班次明細'!$L$39&gt;0,$B138&gt;='班次明細'!$G$39,$C138&lt;='班次明細'!$H$39,OR('班次明細'!$K$39=0,$C138&lt;='班次明細'!$I$39,$B138&gt;='班次明細'!$J$39)),1,0)+IF(AND('班次明細'!$L$46&gt;0,$B138&gt;='班次明細'!$G$46,$C138&lt;='班次明細'!$H$46,OR('班次明細'!$K$46=0,$C138&lt;='班次明細'!$I$46,$B138&gt;='班次明細'!$J$46)),1,0)+IF(AND('班次明細'!$L$53&gt;0,$B138&gt;='班次明細'!$G$53,$C138&lt;='班次明細'!$H$53,OR('班次明細'!$K$53=0,$C138&lt;='班次明細'!$I$53,$B138&gt;='班次明細'!$J$53)),1,0)+IF(AND('班次明細'!$L$60&gt;0,$B138&gt;='班次明細'!$G$60,$C138&lt;='班次明細'!$H$60,OR('班次明細'!$K$60=0,$C138&lt;='班次明細'!$I$60,$B138&gt;='班次明細'!$J$60)),1,0)+IF(AND('班次明細'!$L$67&gt;0,$B138&gt;='班次明細'!$G$67,$C138&lt;='班次明細'!$H$67,OR('班次明細'!$K$67=0,$C138&lt;='班次明細'!$I$67,$B138&gt;='班次明細'!$J$67)),1,0)+IF(AND('班次明細'!$L$74&gt;0,$B138&gt;='班次明細'!$G$74,$C138&lt;='班次明細'!$H$74,OR('班次明細'!$K$74=0,$C138&lt;='班次明細'!$I$74,$B138&gt;='班次明細'!$J$74)),1,0)+IF(AND('班次明細'!$L$81&gt;0,$B138&gt;='班次明細'!$G$81,$C138&lt;='班次明細'!$H$81,OR('班次明細'!$K$81=0,$C138&lt;='班次明細'!$I$81,$B138&gt;='班次明細'!$J$81)),1,0)</x:f>
        <x:v>1</x:v>
      </x:c>
      <x:c r="H138" s="2" t="n">
        <x:f>MAX(0,E138-G138)</x:f>
        <x:v>2</x:v>
      </x:c>
      <x:c r="I138" s="2" t="n">
        <x:f>IF(F138="",0,MAX(0,G138-F138))</x:f>
        <x:v>0</x:v>
      </x:c>
      <x:c r="J138" s="2" t="n">
        <x:v>2</x:v>
      </x:c>
      <x:c r="K138" s="11" t="str"/>
      <x:c r="L138" s="11" t="str">
        <x:f>IF(OR(H138&gt;0,J138&gt;0),"營運參考／主管現場協調",IF(I138&gt;0,"營運參考／主管現場協調","本段人力足夠"))</x:f>
        <x:v>營運參考／主管現場協調</x:v>
      </x:c>
    </x:row>
    <x:row r="139" ht="42" customHeight="1">
      <x:c r="A139" s="12" t="n">
        <x:v>46284</x:v>
      </x:c>
      <x:c r="B139" s="13" t="n">
        <x:v>0.6875</x:v>
      </x:c>
      <x:c r="C139" s="13" t="n">
        <x:v>0.7083333333333334</x:v>
      </x:c>
      <x:c r="D139" s="2" t="str">
        <x:v>假日離峰</x:v>
      </x:c>
      <x:c r="E139" s="2" t="n">
        <x:v>3</x:v>
      </x:c>
      <x:c r="F139" s="2"/>
      <x:c r="G139" s="2" t="n">
        <x:f>IF(AND('班次明細'!$L$11&gt;0,$B139&gt;='班次明細'!$G$11,$C139&lt;='班次明細'!$H$11,OR('班次明細'!$K$11=0,$C139&lt;='班次明細'!$I$11,$B139&gt;='班次明細'!$J$11)),1,0)+IF(AND('班次明細'!$L$18&gt;0,$B139&gt;='班次明細'!$G$18,$C139&lt;='班次明細'!$H$18,OR('班次明細'!$K$18=0,$C139&lt;='班次明細'!$I$18,$B139&gt;='班次明細'!$J$18)),1,0)+IF(AND('班次明細'!$L$25&gt;0,$B139&gt;='班次明細'!$G$25,$C139&lt;='班次明細'!$H$25,OR('班次明細'!$K$25=0,$C139&lt;='班次明細'!$I$25,$B139&gt;='班次明細'!$J$25)),1,0)+IF(AND('班次明細'!$L$32&gt;0,$B139&gt;='班次明細'!$G$32,$C139&lt;='班次明細'!$H$32,OR('班次明細'!$K$32=0,$C139&lt;='班次明細'!$I$32,$B139&gt;='班次明細'!$J$32)),1,0)+IF(AND('班次明細'!$L$39&gt;0,$B139&gt;='班次明細'!$G$39,$C139&lt;='班次明細'!$H$39,OR('班次明細'!$K$39=0,$C139&lt;='班次明細'!$I$39,$B139&gt;='班次明細'!$J$39)),1,0)+IF(AND('班次明細'!$L$46&gt;0,$B139&gt;='班次明細'!$G$46,$C139&lt;='班次明細'!$H$46,OR('班次明細'!$K$46=0,$C139&lt;='班次明細'!$I$46,$B139&gt;='班次明細'!$J$46)),1,0)+IF(AND('班次明細'!$L$53&gt;0,$B139&gt;='班次明細'!$G$53,$C139&lt;='班次明細'!$H$53,OR('班次明細'!$K$53=0,$C139&lt;='班次明細'!$I$53,$B139&gt;='班次明細'!$J$53)),1,0)+IF(AND('班次明細'!$L$60&gt;0,$B139&gt;='班次明細'!$G$60,$C139&lt;='班次明細'!$H$60,OR('班次明細'!$K$60=0,$C139&lt;='班次明細'!$I$60,$B139&gt;='班次明細'!$J$60)),1,0)+IF(AND('班次明細'!$L$67&gt;0,$B139&gt;='班次明細'!$G$67,$C139&lt;='班次明細'!$H$67,OR('班次明細'!$K$67=0,$C139&lt;='班次明細'!$I$67,$B139&gt;='班次明細'!$J$67)),1,0)+IF(AND('班次明細'!$L$74&gt;0,$B139&gt;='班次明細'!$G$74,$C139&lt;='班次明細'!$H$74,OR('班次明細'!$K$74=0,$C139&lt;='班次明細'!$I$74,$B139&gt;='班次明細'!$J$74)),1,0)+IF(AND('班次明細'!$L$81&gt;0,$B139&gt;='班次明細'!$G$81,$C139&lt;='班次明細'!$H$81,OR('班次明細'!$K$81=0,$C139&lt;='班次明細'!$I$81,$B139&gt;='班次明細'!$J$81)),1,0)</x:f>
        <x:v>1</x:v>
      </x:c>
      <x:c r="H139" s="2" t="n">
        <x:f>MAX(0,E139-G139)</x:f>
        <x:v>2</x:v>
      </x:c>
      <x:c r="I139" s="2" t="n">
        <x:f>IF(F139="",0,MAX(0,G139-F139))</x:f>
        <x:v>0</x:v>
      </x:c>
      <x:c r="J139" s="2" t="n">
        <x:v>2</x:v>
      </x:c>
      <x:c r="K139" s="11" t="str"/>
      <x:c r="L139" s="11" t="str">
        <x:f>IF(OR(H139&gt;0,J139&gt;0),"營運參考／主管現場協調",IF(I139&gt;0,"營運參考／主管現場協調","本段人力足夠"))</x:f>
        <x:v>營運參考／主管現場協調</x:v>
      </x:c>
    </x:row>
    <x:row r="140" ht="42" customHeight="1">
      <x:c r="A140" s="12" t="n">
        <x:v>46284</x:v>
      </x:c>
      <x:c r="B140" s="13" t="n">
        <x:v>0.7083333333333334</x:v>
      </x:c>
      <x:c r="C140" s="13" t="n">
        <x:v>0.7291666666666666</x:v>
      </x:c>
      <x:c r="D140" s="2" t="str">
        <x:v>假日晚峰</x:v>
      </x:c>
      <x:c r="E140" s="2" t="n">
        <x:v>7</x:v>
      </x:c>
      <x:c r="F140" s="2" t="n">
        <x:v>7</x:v>
      </x:c>
      <x:c r="G140" s="2" t="n">
        <x:f>IF(AND('班次明細'!$L$11&gt;0,$B140&gt;='班次明細'!$G$11,$C140&lt;='班次明細'!$H$11,OR('班次明細'!$K$11=0,$C140&lt;='班次明細'!$I$11,$B140&gt;='班次明細'!$J$11)),1,0)+IF(AND('班次明細'!$L$18&gt;0,$B140&gt;='班次明細'!$G$18,$C140&lt;='班次明細'!$H$18,OR('班次明細'!$K$18=0,$C140&lt;='班次明細'!$I$18,$B140&gt;='班次明細'!$J$18)),1,0)+IF(AND('班次明細'!$L$25&gt;0,$B140&gt;='班次明細'!$G$25,$C140&lt;='班次明細'!$H$25,OR('班次明細'!$K$25=0,$C140&lt;='班次明細'!$I$25,$B140&gt;='班次明細'!$J$25)),1,0)+IF(AND('班次明細'!$L$32&gt;0,$B140&gt;='班次明細'!$G$32,$C140&lt;='班次明細'!$H$32,OR('班次明細'!$K$32=0,$C140&lt;='班次明細'!$I$32,$B140&gt;='班次明細'!$J$32)),1,0)+IF(AND('班次明細'!$L$39&gt;0,$B140&gt;='班次明細'!$G$39,$C140&lt;='班次明細'!$H$39,OR('班次明細'!$K$39=0,$C140&lt;='班次明細'!$I$39,$B140&gt;='班次明細'!$J$39)),1,0)+IF(AND('班次明細'!$L$46&gt;0,$B140&gt;='班次明細'!$G$46,$C140&lt;='班次明細'!$H$46,OR('班次明細'!$K$46=0,$C140&lt;='班次明細'!$I$46,$B140&gt;='班次明細'!$J$46)),1,0)+IF(AND('班次明細'!$L$53&gt;0,$B140&gt;='班次明細'!$G$53,$C140&lt;='班次明細'!$H$53,OR('班次明細'!$K$53=0,$C140&lt;='班次明細'!$I$53,$B140&gt;='班次明細'!$J$53)),1,0)+IF(AND('班次明細'!$L$60&gt;0,$B140&gt;='班次明細'!$G$60,$C140&lt;='班次明細'!$H$60,OR('班次明細'!$K$60=0,$C140&lt;='班次明細'!$I$60,$B140&gt;='班次明細'!$J$60)),1,0)+IF(AND('班次明細'!$L$67&gt;0,$B140&gt;='班次明細'!$G$67,$C140&lt;='班次明細'!$H$67,OR('班次明細'!$K$67=0,$C140&lt;='班次明細'!$I$67,$B140&gt;='班次明細'!$J$67)),1,0)+IF(AND('班次明細'!$L$74&gt;0,$B140&gt;='班次明細'!$G$74,$C140&lt;='班次明細'!$H$74,OR('班次明細'!$K$74=0,$C140&lt;='班次明細'!$I$74,$B140&gt;='班次明細'!$J$74)),1,0)+IF(AND('班次明細'!$L$81&gt;0,$B140&gt;='班次明細'!$G$81,$C140&lt;='班次明細'!$H$81,OR('班次明細'!$K$81=0,$C140&lt;='班次明細'!$I$81,$B140&gt;='班次明細'!$J$81)),1,0)</x:f>
        <x:v>4</x:v>
      </x:c>
      <x:c r="H140" s="2" t="n">
        <x:f>MAX(0,E140-G140)</x:f>
        <x:v>3</x:v>
      </x:c>
      <x:c r="I140" s="2" t="n">
        <x:f>IF(F140="",0,MAX(0,G140-F140))</x:f>
        <x:v>0</x:v>
      </x:c>
      <x:c r="J140" s="2" t="n">
        <x:v>3</x:v>
      </x:c>
      <x:c r="K140" s="11" t="str">
        <x:v>吧台、拍區、炸區</x:v>
      </x:c>
      <x:c r="L140" s="11" t="str">
        <x:f>IF(OR(H140&gt;0,J140&gt;0),"營運參考／主管現場協調",IF(I140&gt;0,"營運參考／主管現場協調","本段人力足夠"))</x:f>
        <x:v>營運參考／主管現場協調</x:v>
      </x:c>
    </x:row>
    <x:row r="141" ht="42" customHeight="1">
      <x:c r="A141" s="12" t="n">
        <x:v>46284</x:v>
      </x:c>
      <x:c r="B141" s="13" t="n">
        <x:v>0.7291666666666666</x:v>
      </x:c>
      <x:c r="C141" s="13" t="n">
        <x:v>0.75</x:v>
      </x:c>
      <x:c r="D141" s="2" t="str">
        <x:v>假日晚峰</x:v>
      </x:c>
      <x:c r="E141" s="2" t="n">
        <x:v>7</x:v>
      </x:c>
      <x:c r="F141" s="2" t="n">
        <x:v>7</x:v>
      </x:c>
      <x:c r="G141" s="2" t="n">
        <x:f>IF(AND('班次明細'!$L$11&gt;0,$B141&gt;='班次明細'!$G$11,$C141&lt;='班次明細'!$H$11,OR('班次明細'!$K$11=0,$C141&lt;='班次明細'!$I$11,$B141&gt;='班次明細'!$J$11)),1,0)+IF(AND('班次明細'!$L$18&gt;0,$B141&gt;='班次明細'!$G$18,$C141&lt;='班次明細'!$H$18,OR('班次明細'!$K$18=0,$C141&lt;='班次明細'!$I$18,$B141&gt;='班次明細'!$J$18)),1,0)+IF(AND('班次明細'!$L$25&gt;0,$B141&gt;='班次明細'!$G$25,$C141&lt;='班次明細'!$H$25,OR('班次明細'!$K$25=0,$C141&lt;='班次明細'!$I$25,$B141&gt;='班次明細'!$J$25)),1,0)+IF(AND('班次明細'!$L$32&gt;0,$B141&gt;='班次明細'!$G$32,$C141&lt;='班次明細'!$H$32,OR('班次明細'!$K$32=0,$C141&lt;='班次明細'!$I$32,$B141&gt;='班次明細'!$J$32)),1,0)+IF(AND('班次明細'!$L$39&gt;0,$B141&gt;='班次明細'!$G$39,$C141&lt;='班次明細'!$H$39,OR('班次明細'!$K$39=0,$C141&lt;='班次明細'!$I$39,$B141&gt;='班次明細'!$J$39)),1,0)+IF(AND('班次明細'!$L$46&gt;0,$B141&gt;='班次明細'!$G$46,$C141&lt;='班次明細'!$H$46,OR('班次明細'!$K$46=0,$C141&lt;='班次明細'!$I$46,$B141&gt;='班次明細'!$J$46)),1,0)+IF(AND('班次明細'!$L$53&gt;0,$B141&gt;='班次明細'!$G$53,$C141&lt;='班次明細'!$H$53,OR('班次明細'!$K$53=0,$C141&lt;='班次明細'!$I$53,$B141&gt;='班次明細'!$J$53)),1,0)+IF(AND('班次明細'!$L$60&gt;0,$B141&gt;='班次明細'!$G$60,$C141&lt;='班次明細'!$H$60,OR('班次明細'!$K$60=0,$C141&lt;='班次明細'!$I$60,$B141&gt;='班次明細'!$J$60)),1,0)+IF(AND('班次明細'!$L$67&gt;0,$B141&gt;='班次明細'!$G$67,$C141&lt;='班次明細'!$H$67,OR('班次明細'!$K$67=0,$C141&lt;='班次明細'!$I$67,$B141&gt;='班次明細'!$J$67)),1,0)+IF(AND('班次明細'!$L$74&gt;0,$B141&gt;='班次明細'!$G$74,$C141&lt;='班次明細'!$H$74,OR('班次明細'!$K$74=0,$C141&lt;='班次明細'!$I$74,$B141&gt;='班次明細'!$J$74)),1,0)+IF(AND('班次明細'!$L$81&gt;0,$B141&gt;='班次明細'!$G$81,$C141&lt;='班次明細'!$H$81,OR('班次明細'!$K$81=0,$C141&lt;='班次明細'!$I$81,$B141&gt;='班次明細'!$J$81)),1,0)</x:f>
        <x:v>6</x:v>
      </x:c>
      <x:c r="H141" s="2" t="n">
        <x:f>MAX(0,E141-G141)</x:f>
        <x:v>1</x:v>
      </x:c>
      <x:c r="I141" s="2" t="n">
        <x:f>IF(F141="",0,MAX(0,G141-F141))</x:f>
        <x:v>0</x:v>
      </x:c>
      <x:c r="J141" s="2" t="n">
        <x:v>1</x:v>
      </x:c>
      <x:c r="K141" s="11" t="str">
        <x:v>吧台</x:v>
      </x:c>
      <x:c r="L141" s="11" t="str">
        <x:f>IF(OR(H141&gt;0,J141&gt;0),"營運參考／主管現場協調",IF(I141&gt;0,"營運參考／主管現場協調","本段人力足夠"))</x:f>
        <x:v>營運參考／主管現場協調</x:v>
      </x:c>
    </x:row>
    <x:row r="142" ht="42" customHeight="1">
      <x:c r="A142" s="12" t="n">
        <x:v>46284</x:v>
      </x:c>
      <x:c r="B142" s="13" t="n">
        <x:v>0.75</x:v>
      </x:c>
      <x:c r="C142" s="13" t="n">
        <x:v>0.7708333333333334</x:v>
      </x:c>
      <x:c r="D142" s="2" t="str">
        <x:v>假日晚峰</x:v>
      </x:c>
      <x:c r="E142" s="2" t="n">
        <x:v>7</x:v>
      </x:c>
      <x:c r="F142" s="2" t="n">
        <x:v>7</x:v>
      </x:c>
      <x:c r="G142" s="2" t="n">
        <x:f>IF(AND('班次明細'!$L$11&gt;0,$B142&gt;='班次明細'!$G$11,$C142&lt;='班次明細'!$H$11,OR('班次明細'!$K$11=0,$C142&lt;='班次明細'!$I$11,$B142&gt;='班次明細'!$J$11)),1,0)+IF(AND('班次明細'!$L$18&gt;0,$B142&gt;='班次明細'!$G$18,$C142&lt;='班次明細'!$H$18,OR('班次明細'!$K$18=0,$C142&lt;='班次明細'!$I$18,$B142&gt;='班次明細'!$J$18)),1,0)+IF(AND('班次明細'!$L$25&gt;0,$B142&gt;='班次明細'!$G$25,$C142&lt;='班次明細'!$H$25,OR('班次明細'!$K$25=0,$C142&lt;='班次明細'!$I$25,$B142&gt;='班次明細'!$J$25)),1,0)+IF(AND('班次明細'!$L$32&gt;0,$B142&gt;='班次明細'!$G$32,$C142&lt;='班次明細'!$H$32,OR('班次明細'!$K$32=0,$C142&lt;='班次明細'!$I$32,$B142&gt;='班次明細'!$J$32)),1,0)+IF(AND('班次明細'!$L$39&gt;0,$B142&gt;='班次明細'!$G$39,$C142&lt;='班次明細'!$H$39,OR('班次明細'!$K$39=0,$C142&lt;='班次明細'!$I$39,$B142&gt;='班次明細'!$J$39)),1,0)+IF(AND('班次明細'!$L$46&gt;0,$B142&gt;='班次明細'!$G$46,$C142&lt;='班次明細'!$H$46,OR('班次明細'!$K$46=0,$C142&lt;='班次明細'!$I$46,$B142&gt;='班次明細'!$J$46)),1,0)+IF(AND('班次明細'!$L$53&gt;0,$B142&gt;='班次明細'!$G$53,$C142&lt;='班次明細'!$H$53,OR('班次明細'!$K$53=0,$C142&lt;='班次明細'!$I$53,$B142&gt;='班次明細'!$J$53)),1,0)+IF(AND('班次明細'!$L$60&gt;0,$B142&gt;='班次明細'!$G$60,$C142&lt;='班次明細'!$H$60,OR('班次明細'!$K$60=0,$C142&lt;='班次明細'!$I$60,$B142&gt;='班次明細'!$J$60)),1,0)+IF(AND('班次明細'!$L$67&gt;0,$B142&gt;='班次明細'!$G$67,$C142&lt;='班次明細'!$H$67,OR('班次明細'!$K$67=0,$C142&lt;='班次明細'!$I$67,$B142&gt;='班次明細'!$J$67)),1,0)+IF(AND('班次明細'!$L$74&gt;0,$B142&gt;='班次明細'!$G$74,$C142&lt;='班次明細'!$H$74,OR('班次明細'!$K$74=0,$C142&lt;='班次明細'!$I$74,$B142&gt;='班次明細'!$J$74)),1,0)+IF(AND('班次明細'!$L$81&gt;0,$B142&gt;='班次明細'!$G$81,$C142&lt;='班次明細'!$H$81,OR('班次明細'!$K$81=0,$C142&lt;='班次明細'!$I$81,$B142&gt;='班次明細'!$J$81)),1,0)</x:f>
        <x:v>7</x:v>
      </x:c>
      <x:c r="H142" s="2" t="n">
        <x:f>MAX(0,E142-G142)</x:f>
        <x:v>0</x:v>
      </x:c>
      <x:c r="I142" s="2" t="n">
        <x:f>IF(F142="",0,MAX(0,G142-F142))</x:f>
        <x:v>0</x:v>
      </x:c>
      <x:c r="J142" s="2" t="n">
        <x:v>0</x:v>
      </x:c>
      <x:c r="K142" s="11" t="str"/>
      <x:c r="L142" s="11" t="str">
        <x:f>IF(OR(H142&gt;0,J142&gt;0),"營運參考／主管現場協調",IF(I142&gt;0,"營運參考／主管現場協調","本段人力足夠"))</x:f>
        <x:v>本段人力足夠</x:v>
      </x:c>
    </x:row>
    <x:row r="143" ht="42" customHeight="1">
      <x:c r="A143" s="12" t="n">
        <x:v>46284</x:v>
      </x:c>
      <x:c r="B143" s="13" t="n">
        <x:v>0.7708333333333334</x:v>
      </x:c>
      <x:c r="C143" s="13" t="n">
        <x:v>0.7916666666666666</x:v>
      </x:c>
      <x:c r="D143" s="2" t="str">
        <x:v>假日晚峰</x:v>
      </x:c>
      <x:c r="E143" s="2" t="n">
        <x:v>7</x:v>
      </x:c>
      <x:c r="F143" s="2" t="n">
        <x:v>7</x:v>
      </x:c>
      <x:c r="G143" s="2" t="n">
        <x:f>IF(AND('班次明細'!$L$11&gt;0,$B143&gt;='班次明細'!$G$11,$C143&lt;='班次明細'!$H$11,OR('班次明細'!$K$11=0,$C143&lt;='班次明細'!$I$11,$B143&gt;='班次明細'!$J$11)),1,0)+IF(AND('班次明細'!$L$18&gt;0,$B143&gt;='班次明細'!$G$18,$C143&lt;='班次明細'!$H$18,OR('班次明細'!$K$18=0,$C143&lt;='班次明細'!$I$18,$B143&gt;='班次明細'!$J$18)),1,0)+IF(AND('班次明細'!$L$25&gt;0,$B143&gt;='班次明細'!$G$25,$C143&lt;='班次明細'!$H$25,OR('班次明細'!$K$25=0,$C143&lt;='班次明細'!$I$25,$B143&gt;='班次明細'!$J$25)),1,0)+IF(AND('班次明細'!$L$32&gt;0,$B143&gt;='班次明細'!$G$32,$C143&lt;='班次明細'!$H$32,OR('班次明細'!$K$32=0,$C143&lt;='班次明細'!$I$32,$B143&gt;='班次明細'!$J$32)),1,0)+IF(AND('班次明細'!$L$39&gt;0,$B143&gt;='班次明細'!$G$39,$C143&lt;='班次明細'!$H$39,OR('班次明細'!$K$39=0,$C143&lt;='班次明細'!$I$39,$B143&gt;='班次明細'!$J$39)),1,0)+IF(AND('班次明細'!$L$46&gt;0,$B143&gt;='班次明細'!$G$46,$C143&lt;='班次明細'!$H$46,OR('班次明細'!$K$46=0,$C143&lt;='班次明細'!$I$46,$B143&gt;='班次明細'!$J$46)),1,0)+IF(AND('班次明細'!$L$53&gt;0,$B143&gt;='班次明細'!$G$53,$C143&lt;='班次明細'!$H$53,OR('班次明細'!$K$53=0,$C143&lt;='班次明細'!$I$53,$B143&gt;='班次明細'!$J$53)),1,0)+IF(AND('班次明細'!$L$60&gt;0,$B143&gt;='班次明細'!$G$60,$C143&lt;='班次明細'!$H$60,OR('班次明細'!$K$60=0,$C143&lt;='班次明細'!$I$60,$B143&gt;='班次明細'!$J$60)),1,0)+IF(AND('班次明細'!$L$67&gt;0,$B143&gt;='班次明細'!$G$67,$C143&lt;='班次明細'!$H$67,OR('班次明細'!$K$67=0,$C143&lt;='班次明細'!$I$67,$B143&gt;='班次明細'!$J$67)),1,0)+IF(AND('班次明細'!$L$74&gt;0,$B143&gt;='班次明細'!$G$74,$C143&lt;='班次明細'!$H$74,OR('班次明細'!$K$74=0,$C143&lt;='班次明細'!$I$74,$B143&gt;='班次明細'!$J$74)),1,0)+IF(AND('班次明細'!$L$81&gt;0,$B143&gt;='班次明細'!$G$81,$C143&lt;='班次明細'!$H$81,OR('班次明細'!$K$81=0,$C143&lt;='班次明細'!$I$81,$B143&gt;='班次明細'!$J$81)),1,0)</x:f>
        <x:v>7</x:v>
      </x:c>
      <x:c r="H143" s="2" t="n">
        <x:f>MAX(0,E143-G143)</x:f>
        <x:v>0</x:v>
      </x:c>
      <x:c r="I143" s="2" t="n">
        <x:f>IF(F143="",0,MAX(0,G143-F143))</x:f>
        <x:v>0</x:v>
      </x:c>
      <x:c r="J143" s="2" t="n">
        <x:v>0</x:v>
      </x:c>
      <x:c r="K143" s="11" t="str"/>
      <x:c r="L143" s="11" t="str">
        <x:f>IF(OR(H143&gt;0,J143&gt;0),"營運參考／主管現場協調",IF(I143&gt;0,"營運參考／主管現場協調","本段人力足夠"))</x:f>
        <x:v>本段人力足夠</x:v>
      </x:c>
    </x:row>
    <x:row r="144" ht="42" customHeight="1">
      <x:c r="A144" s="12" t="n">
        <x:v>46284</x:v>
      </x:c>
      <x:c r="B144" s="13" t="n">
        <x:v>0.7916666666666666</x:v>
      </x:c>
      <x:c r="C144" s="13" t="n">
        <x:v>0.8125</x:v>
      </x:c>
      <x:c r="D144" s="2" t="str">
        <x:v>假日晚峰</x:v>
      </x:c>
      <x:c r="E144" s="2" t="n">
        <x:v>7</x:v>
      </x:c>
      <x:c r="F144" s="2" t="n">
        <x:v>7</x:v>
      </x:c>
      <x:c r="G144" s="2" t="n">
        <x:f>IF(AND('班次明細'!$L$11&gt;0,$B144&gt;='班次明細'!$G$11,$C144&lt;='班次明細'!$H$11,OR('班次明細'!$K$11=0,$C144&lt;='班次明細'!$I$11,$B144&gt;='班次明細'!$J$11)),1,0)+IF(AND('班次明細'!$L$18&gt;0,$B144&gt;='班次明細'!$G$18,$C144&lt;='班次明細'!$H$18,OR('班次明細'!$K$18=0,$C144&lt;='班次明細'!$I$18,$B144&gt;='班次明細'!$J$18)),1,0)+IF(AND('班次明細'!$L$25&gt;0,$B144&gt;='班次明細'!$G$25,$C144&lt;='班次明細'!$H$25,OR('班次明細'!$K$25=0,$C144&lt;='班次明細'!$I$25,$B144&gt;='班次明細'!$J$25)),1,0)+IF(AND('班次明細'!$L$32&gt;0,$B144&gt;='班次明細'!$G$32,$C144&lt;='班次明細'!$H$32,OR('班次明細'!$K$32=0,$C144&lt;='班次明細'!$I$32,$B144&gt;='班次明細'!$J$32)),1,0)+IF(AND('班次明細'!$L$39&gt;0,$B144&gt;='班次明細'!$G$39,$C144&lt;='班次明細'!$H$39,OR('班次明細'!$K$39=0,$C144&lt;='班次明細'!$I$39,$B144&gt;='班次明細'!$J$39)),1,0)+IF(AND('班次明細'!$L$46&gt;0,$B144&gt;='班次明細'!$G$46,$C144&lt;='班次明細'!$H$46,OR('班次明細'!$K$46=0,$C144&lt;='班次明細'!$I$46,$B144&gt;='班次明細'!$J$46)),1,0)+IF(AND('班次明細'!$L$53&gt;0,$B144&gt;='班次明細'!$G$53,$C144&lt;='班次明細'!$H$53,OR('班次明細'!$K$53=0,$C144&lt;='班次明細'!$I$53,$B144&gt;='班次明細'!$J$53)),1,0)+IF(AND('班次明細'!$L$60&gt;0,$B144&gt;='班次明細'!$G$60,$C144&lt;='班次明細'!$H$60,OR('班次明細'!$K$60=0,$C144&lt;='班次明細'!$I$60,$B144&gt;='班次明細'!$J$60)),1,0)+IF(AND('班次明細'!$L$67&gt;0,$B144&gt;='班次明細'!$G$67,$C144&lt;='班次明細'!$H$67,OR('班次明細'!$K$67=0,$C144&lt;='班次明細'!$I$67,$B144&gt;='班次明細'!$J$67)),1,0)+IF(AND('班次明細'!$L$74&gt;0,$B144&gt;='班次明細'!$G$74,$C144&lt;='班次明細'!$H$74,OR('班次明細'!$K$74=0,$C144&lt;='班次明細'!$I$74,$B144&gt;='班次明細'!$J$74)),1,0)+IF(AND('班次明細'!$L$81&gt;0,$B144&gt;='班次明細'!$G$81,$C144&lt;='班次明細'!$H$81,OR('班次明細'!$K$81=0,$C144&lt;='班次明細'!$I$81,$B144&gt;='班次明細'!$J$81)),1,0)</x:f>
        <x:v>7</x:v>
      </x:c>
      <x:c r="H144" s="2" t="n">
        <x:f>MAX(0,E144-G144)</x:f>
        <x:v>0</x:v>
      </x:c>
      <x:c r="I144" s="2" t="n">
        <x:f>IF(F144="",0,MAX(0,G144-F144))</x:f>
        <x:v>0</x:v>
      </x:c>
      <x:c r="J144" s="2" t="n">
        <x:v>0</x:v>
      </x:c>
      <x:c r="K144" s="11" t="str"/>
      <x:c r="L144" s="11" t="str">
        <x:f>IF(OR(H144&gt;0,J144&gt;0),"營運參考／主管現場協調",IF(I144&gt;0,"營運參考／主管現場協調","本段人力足夠"))</x:f>
        <x:v>本段人力足夠</x:v>
      </x:c>
    </x:row>
    <x:row r="145" ht="42" customHeight="1">
      <x:c r="A145" s="12" t="n">
        <x:v>46284</x:v>
      </x:c>
      <x:c r="B145" s="13" t="n">
        <x:v>0.8125</x:v>
      </x:c>
      <x:c r="C145" s="13" t="n">
        <x:v>0.8333333333333334</x:v>
      </x:c>
      <x:c r="D145" s="2" t="str">
        <x:v>假日晚峰</x:v>
      </x:c>
      <x:c r="E145" s="2" t="n">
        <x:v>7</x:v>
      </x:c>
      <x:c r="F145" s="2" t="n">
        <x:v>7</x:v>
      </x:c>
      <x:c r="G145" s="2" t="n">
        <x:f>IF(AND('班次明細'!$L$11&gt;0,$B145&gt;='班次明細'!$G$11,$C145&lt;='班次明細'!$H$11,OR('班次明細'!$K$11=0,$C145&lt;='班次明細'!$I$11,$B145&gt;='班次明細'!$J$11)),1,0)+IF(AND('班次明細'!$L$18&gt;0,$B145&gt;='班次明細'!$G$18,$C145&lt;='班次明細'!$H$18,OR('班次明細'!$K$18=0,$C145&lt;='班次明細'!$I$18,$B145&gt;='班次明細'!$J$18)),1,0)+IF(AND('班次明細'!$L$25&gt;0,$B145&gt;='班次明細'!$G$25,$C145&lt;='班次明細'!$H$25,OR('班次明細'!$K$25=0,$C145&lt;='班次明細'!$I$25,$B145&gt;='班次明細'!$J$25)),1,0)+IF(AND('班次明細'!$L$32&gt;0,$B145&gt;='班次明細'!$G$32,$C145&lt;='班次明細'!$H$32,OR('班次明細'!$K$32=0,$C145&lt;='班次明細'!$I$32,$B145&gt;='班次明細'!$J$32)),1,0)+IF(AND('班次明細'!$L$39&gt;0,$B145&gt;='班次明細'!$G$39,$C145&lt;='班次明細'!$H$39,OR('班次明細'!$K$39=0,$C145&lt;='班次明細'!$I$39,$B145&gt;='班次明細'!$J$39)),1,0)+IF(AND('班次明細'!$L$46&gt;0,$B145&gt;='班次明細'!$G$46,$C145&lt;='班次明細'!$H$46,OR('班次明細'!$K$46=0,$C145&lt;='班次明細'!$I$46,$B145&gt;='班次明細'!$J$46)),1,0)+IF(AND('班次明細'!$L$53&gt;0,$B145&gt;='班次明細'!$G$53,$C145&lt;='班次明細'!$H$53,OR('班次明細'!$K$53=0,$C145&lt;='班次明細'!$I$53,$B145&gt;='班次明細'!$J$53)),1,0)+IF(AND('班次明細'!$L$60&gt;0,$B145&gt;='班次明細'!$G$60,$C145&lt;='班次明細'!$H$60,OR('班次明細'!$K$60=0,$C145&lt;='班次明細'!$I$60,$B145&gt;='班次明細'!$J$60)),1,0)+IF(AND('班次明細'!$L$67&gt;0,$B145&gt;='班次明細'!$G$67,$C145&lt;='班次明細'!$H$67,OR('班次明細'!$K$67=0,$C145&lt;='班次明細'!$I$67,$B145&gt;='班次明細'!$J$67)),1,0)+IF(AND('班次明細'!$L$74&gt;0,$B145&gt;='班次明細'!$G$74,$C145&lt;='班次明細'!$H$74,OR('班次明細'!$K$74=0,$C145&lt;='班次明細'!$I$74,$B145&gt;='班次明細'!$J$74)),1,0)+IF(AND('班次明細'!$L$81&gt;0,$B145&gt;='班次明細'!$G$81,$C145&lt;='班次明細'!$H$81,OR('班次明細'!$K$81=0,$C145&lt;='班次明細'!$I$81,$B145&gt;='班次明細'!$J$81)),1,0)</x:f>
        <x:v>7</x:v>
      </x:c>
      <x:c r="H145" s="2" t="n">
        <x:f>MAX(0,E145-G145)</x:f>
        <x:v>0</x:v>
      </x:c>
      <x:c r="I145" s="2" t="n">
        <x:f>IF(F145="",0,MAX(0,G145-F145))</x:f>
        <x:v>0</x:v>
      </x:c>
      <x:c r="J145" s="2" t="n">
        <x:v>0</x:v>
      </x:c>
      <x:c r="K145" s="11" t="str"/>
      <x:c r="L145" s="11" t="str">
        <x:f>IF(OR(H145&gt;0,J145&gt;0),"營運參考／主管現場協調",IF(I145&gt;0,"營運參考／主管現場協調","本段人力足夠"))</x:f>
        <x:v>本段人力足夠</x:v>
      </x:c>
    </x:row>
    <x:row r="146" ht="42" customHeight="1">
      <x:c r="A146" s="12" t="n">
        <x:v>46284</x:v>
      </x:c>
      <x:c r="B146" s="13" t="n">
        <x:v>0.8333333333333334</x:v>
      </x:c>
      <x:c r="C146" s="13" t="n">
        <x:v>0.8541666666666666</x:v>
      </x:c>
      <x:c r="D146" s="2" t="str">
        <x:v>假日收店20</x:v>
      </x:c>
      <x:c r="E146" s="2" t="n">
        <x:v>6</x:v>
      </x:c>
      <x:c r="F146" s="2"/>
      <x:c r="G146" s="2" t="n">
        <x:f>IF(AND('班次明細'!$L$11&gt;0,$B146&gt;='班次明細'!$G$11,$C146&lt;='班次明細'!$H$11,OR('班次明細'!$K$11=0,$C146&lt;='班次明細'!$I$11,$B146&gt;='班次明細'!$J$11)),1,0)+IF(AND('班次明細'!$L$18&gt;0,$B146&gt;='班次明細'!$G$18,$C146&lt;='班次明細'!$H$18,OR('班次明細'!$K$18=0,$C146&lt;='班次明細'!$I$18,$B146&gt;='班次明細'!$J$18)),1,0)+IF(AND('班次明細'!$L$25&gt;0,$B146&gt;='班次明細'!$G$25,$C146&lt;='班次明細'!$H$25,OR('班次明細'!$K$25=0,$C146&lt;='班次明細'!$I$25,$B146&gt;='班次明細'!$J$25)),1,0)+IF(AND('班次明細'!$L$32&gt;0,$B146&gt;='班次明細'!$G$32,$C146&lt;='班次明細'!$H$32,OR('班次明細'!$K$32=0,$C146&lt;='班次明細'!$I$32,$B146&gt;='班次明細'!$J$32)),1,0)+IF(AND('班次明細'!$L$39&gt;0,$B146&gt;='班次明細'!$G$39,$C146&lt;='班次明細'!$H$39,OR('班次明細'!$K$39=0,$C146&lt;='班次明細'!$I$39,$B146&gt;='班次明細'!$J$39)),1,0)+IF(AND('班次明細'!$L$46&gt;0,$B146&gt;='班次明細'!$G$46,$C146&lt;='班次明細'!$H$46,OR('班次明細'!$K$46=0,$C146&lt;='班次明細'!$I$46,$B146&gt;='班次明細'!$J$46)),1,0)+IF(AND('班次明細'!$L$53&gt;0,$B146&gt;='班次明細'!$G$53,$C146&lt;='班次明細'!$H$53,OR('班次明細'!$K$53=0,$C146&lt;='班次明細'!$I$53,$B146&gt;='班次明細'!$J$53)),1,0)+IF(AND('班次明細'!$L$60&gt;0,$B146&gt;='班次明細'!$G$60,$C146&lt;='班次明細'!$H$60,OR('班次明細'!$K$60=0,$C146&lt;='班次明細'!$I$60,$B146&gt;='班次明細'!$J$60)),1,0)+IF(AND('班次明細'!$L$67&gt;0,$B146&gt;='班次明細'!$G$67,$C146&lt;='班次明細'!$H$67,OR('班次明細'!$K$67=0,$C146&lt;='班次明細'!$I$67,$B146&gt;='班次明細'!$J$67)),1,0)+IF(AND('班次明細'!$L$74&gt;0,$B146&gt;='班次明細'!$G$74,$C146&lt;='班次明細'!$H$74,OR('班次明細'!$K$74=0,$C146&lt;='班次明細'!$I$74,$B146&gt;='班次明細'!$J$74)),1,0)+IF(AND('班次明細'!$L$81&gt;0,$B146&gt;='班次明細'!$G$81,$C146&lt;='班次明細'!$H$81,OR('班次明細'!$K$81=0,$C146&lt;='班次明細'!$I$81,$B146&gt;='班次明細'!$J$81)),1,0)</x:f>
        <x:v>6</x:v>
      </x:c>
      <x:c r="H146" s="2" t="n">
        <x:f>MAX(0,E146-G146)</x:f>
        <x:v>0</x:v>
      </x:c>
      <x:c r="I146" s="2" t="n">
        <x:f>IF(F146="",0,MAX(0,G146-F146))</x:f>
        <x:v>0</x:v>
      </x:c>
      <x:c r="J146" s="2" t="n">
        <x:v>1</x:v>
      </x:c>
      <x:c r="K146" s="11" t="str"/>
      <x:c r="L146" s="11" t="str">
        <x:f>IF(OR(H146&gt;0,J146&gt;0),"營運參考／主管現場協調；收店交接參考",IF(I146&gt;0,"營運參考／主管現場協調","人數足；收店交接參考"))</x:f>
        <x:v>營運參考／主管現場協調；收店交接參考</x:v>
      </x:c>
    </x:row>
    <x:row r="147" ht="42" customHeight="1">
      <x:c r="A147" s="12" t="n">
        <x:v>46284</x:v>
      </x:c>
      <x:c r="B147" s="13" t="n">
        <x:v>0.8541666666666666</x:v>
      </x:c>
      <x:c r="C147" s="13" t="n">
        <x:v>0.875</x:v>
      </x:c>
      <x:c r="D147" s="2" t="str">
        <x:v>假日收店20</x:v>
      </x:c>
      <x:c r="E147" s="2" t="n">
        <x:v>6</x:v>
      </x:c>
      <x:c r="F147" s="2"/>
      <x:c r="G147" s="2" t="n">
        <x:f>IF(AND('班次明細'!$L$11&gt;0,$B147&gt;='班次明細'!$G$11,$C147&lt;='班次明細'!$H$11,OR('班次明細'!$K$11=0,$C147&lt;='班次明細'!$I$11,$B147&gt;='班次明細'!$J$11)),1,0)+IF(AND('班次明細'!$L$18&gt;0,$B147&gt;='班次明細'!$G$18,$C147&lt;='班次明細'!$H$18,OR('班次明細'!$K$18=0,$C147&lt;='班次明細'!$I$18,$B147&gt;='班次明細'!$J$18)),1,0)+IF(AND('班次明細'!$L$25&gt;0,$B147&gt;='班次明細'!$G$25,$C147&lt;='班次明細'!$H$25,OR('班次明細'!$K$25=0,$C147&lt;='班次明細'!$I$25,$B147&gt;='班次明細'!$J$25)),1,0)+IF(AND('班次明細'!$L$32&gt;0,$B147&gt;='班次明細'!$G$32,$C147&lt;='班次明細'!$H$32,OR('班次明細'!$K$32=0,$C147&lt;='班次明細'!$I$32,$B147&gt;='班次明細'!$J$32)),1,0)+IF(AND('班次明細'!$L$39&gt;0,$B147&gt;='班次明細'!$G$39,$C147&lt;='班次明細'!$H$39,OR('班次明細'!$K$39=0,$C147&lt;='班次明細'!$I$39,$B147&gt;='班次明細'!$J$39)),1,0)+IF(AND('班次明細'!$L$46&gt;0,$B147&gt;='班次明細'!$G$46,$C147&lt;='班次明細'!$H$46,OR('班次明細'!$K$46=0,$C147&lt;='班次明細'!$I$46,$B147&gt;='班次明細'!$J$46)),1,0)+IF(AND('班次明細'!$L$53&gt;0,$B147&gt;='班次明細'!$G$53,$C147&lt;='班次明細'!$H$53,OR('班次明細'!$K$53=0,$C147&lt;='班次明細'!$I$53,$B147&gt;='班次明細'!$J$53)),1,0)+IF(AND('班次明細'!$L$60&gt;0,$B147&gt;='班次明細'!$G$60,$C147&lt;='班次明細'!$H$60,OR('班次明細'!$K$60=0,$C147&lt;='班次明細'!$I$60,$B147&gt;='班次明細'!$J$60)),1,0)+IF(AND('班次明細'!$L$67&gt;0,$B147&gt;='班次明細'!$G$67,$C147&lt;='班次明細'!$H$67,OR('班次明細'!$K$67=0,$C147&lt;='班次明細'!$I$67,$B147&gt;='班次明細'!$J$67)),1,0)+IF(AND('班次明細'!$L$74&gt;0,$B147&gt;='班次明細'!$G$74,$C147&lt;='班次明細'!$H$74,OR('班次明細'!$K$74=0,$C147&lt;='班次明細'!$I$74,$B147&gt;='班次明細'!$J$74)),1,0)+IF(AND('班次明細'!$L$81&gt;0,$B147&gt;='班次明細'!$G$81,$C147&lt;='班次明細'!$H$81,OR('班次明細'!$K$81=0,$C147&lt;='班次明細'!$I$81,$B147&gt;='班次明細'!$J$81)),1,0)</x:f>
        <x:v>5</x:v>
      </x:c>
      <x:c r="H147" s="2" t="n">
        <x:f>MAX(0,E147-G147)</x:f>
        <x:v>1</x:v>
      </x:c>
      <x:c r="I147" s="2" t="n">
        <x:f>IF(F147="",0,MAX(0,G147-F147))</x:f>
        <x:v>0</x:v>
      </x:c>
      <x:c r="J147" s="2" t="n">
        <x:v>2</x:v>
      </x:c>
      <x:c r="K147" s="11" t="str"/>
      <x:c r="L147" s="11" t="str">
        <x:f>IF(OR(H147&gt;0,J147&gt;0),"營運參考／主管現場協調；收店交接參考",IF(I147&gt;0,"營運參考／主管現場協調","人數足；收店交接參考"))</x:f>
        <x:v>營運參考／主管現場協調；收店交接參考</x:v>
      </x:c>
    </x:row>
    <x:row r="148" ht="42" customHeight="1">
      <x:c r="A148" s="12" t="n">
        <x:v>46284</x:v>
      </x:c>
      <x:c r="B148" s="13" t="n">
        <x:v>0.875</x:v>
      </x:c>
      <x:c r="C148" s="13" t="n">
        <x:v>0.8958333333333334</x:v>
      </x:c>
      <x:c r="D148" s="2" t="str">
        <x:v>假日收店21</x:v>
      </x:c>
      <x:c r="E148" s="2" t="n">
        <x:v>5</x:v>
      </x:c>
      <x:c r="F148" s="2"/>
      <x:c r="G148" s="2" t="n">
        <x:f>IF(AND('班次明細'!$L$11&gt;0,$B148&gt;='班次明細'!$G$11,$C148&lt;='班次明細'!$H$11,OR('班次明細'!$K$11=0,$C148&lt;='班次明細'!$I$11,$B148&gt;='班次明細'!$J$11)),1,0)+IF(AND('班次明細'!$L$18&gt;0,$B148&gt;='班次明細'!$G$18,$C148&lt;='班次明細'!$H$18,OR('班次明細'!$K$18=0,$C148&lt;='班次明細'!$I$18,$B148&gt;='班次明細'!$J$18)),1,0)+IF(AND('班次明細'!$L$25&gt;0,$B148&gt;='班次明細'!$G$25,$C148&lt;='班次明細'!$H$25,OR('班次明細'!$K$25=0,$C148&lt;='班次明細'!$I$25,$B148&gt;='班次明細'!$J$25)),1,0)+IF(AND('班次明細'!$L$32&gt;0,$B148&gt;='班次明細'!$G$32,$C148&lt;='班次明細'!$H$32,OR('班次明細'!$K$32=0,$C148&lt;='班次明細'!$I$32,$B148&gt;='班次明細'!$J$32)),1,0)+IF(AND('班次明細'!$L$39&gt;0,$B148&gt;='班次明細'!$G$39,$C148&lt;='班次明細'!$H$39,OR('班次明細'!$K$39=0,$C148&lt;='班次明細'!$I$39,$B148&gt;='班次明細'!$J$39)),1,0)+IF(AND('班次明細'!$L$46&gt;0,$B148&gt;='班次明細'!$G$46,$C148&lt;='班次明細'!$H$46,OR('班次明細'!$K$46=0,$C148&lt;='班次明細'!$I$46,$B148&gt;='班次明細'!$J$46)),1,0)+IF(AND('班次明細'!$L$53&gt;0,$B148&gt;='班次明細'!$G$53,$C148&lt;='班次明細'!$H$53,OR('班次明細'!$K$53=0,$C148&lt;='班次明細'!$I$53,$B148&gt;='班次明細'!$J$53)),1,0)+IF(AND('班次明細'!$L$60&gt;0,$B148&gt;='班次明細'!$G$60,$C148&lt;='班次明細'!$H$60,OR('班次明細'!$K$60=0,$C148&lt;='班次明細'!$I$60,$B148&gt;='班次明細'!$J$60)),1,0)+IF(AND('班次明細'!$L$67&gt;0,$B148&gt;='班次明細'!$G$67,$C148&lt;='班次明細'!$H$67,OR('班次明細'!$K$67=0,$C148&lt;='班次明細'!$I$67,$B148&gt;='班次明細'!$J$67)),1,0)+IF(AND('班次明細'!$L$74&gt;0,$B148&gt;='班次明細'!$G$74,$C148&lt;='班次明細'!$H$74,OR('班次明細'!$K$74=0,$C148&lt;='班次明細'!$I$74,$B148&gt;='班次明細'!$J$74)),1,0)+IF(AND('班次明細'!$L$81&gt;0,$B148&gt;='班次明細'!$G$81,$C148&lt;='班次明細'!$H$81,OR('班次明細'!$K$81=0,$C148&lt;='班次明細'!$I$81,$B148&gt;='班次明細'!$J$81)),1,0)</x:f>
        <x:v>4</x:v>
      </x:c>
      <x:c r="H148" s="2" t="n">
        <x:f>MAX(0,E148-G148)</x:f>
        <x:v>1</x:v>
      </x:c>
      <x:c r="I148" s="2" t="n">
        <x:f>IF(F148="",0,MAX(0,G148-F148))</x:f>
        <x:v>0</x:v>
      </x:c>
      <x:c r="J148" s="2" t="n">
        <x:v>1</x:v>
      </x:c>
      <x:c r="K148" s="11" t="str"/>
      <x:c r="L148" s="11" t="str">
        <x:f>IF(OR(H148&gt;0,J148&gt;0),"營運參考／主管現場協調；收店交接參考",IF(I148&gt;0,"營運參考／主管現場協調","人數足；收店交接參考"))</x:f>
        <x:v>營運參考／主管現場協調；收店交接參考</x:v>
      </x:c>
    </x:row>
    <x:row r="149" ht="42" customHeight="1">
      <x:c r="A149" s="12" t="n">
        <x:v>46284</x:v>
      </x:c>
      <x:c r="B149" s="13" t="n">
        <x:v>0.8958333333333334</x:v>
      </x:c>
      <x:c r="C149" s="13" t="n">
        <x:v>0.9166666666666666</x:v>
      </x:c>
      <x:c r="D149" s="2" t="str">
        <x:v>假日收店2130</x:v>
      </x:c>
      <x:c r="E149" s="2" t="n">
        <x:v>4</x:v>
      </x:c>
      <x:c r="F149" s="2"/>
      <x:c r="G149" s="2" t="n">
        <x:f>IF(AND('班次明細'!$L$11&gt;0,$B149&gt;='班次明細'!$G$11,$C149&lt;='班次明細'!$H$11,OR('班次明細'!$K$11=0,$C149&lt;='班次明細'!$I$11,$B149&gt;='班次明細'!$J$11)),1,0)+IF(AND('班次明細'!$L$18&gt;0,$B149&gt;='班次明細'!$G$18,$C149&lt;='班次明細'!$H$18,OR('班次明細'!$K$18=0,$C149&lt;='班次明細'!$I$18,$B149&gt;='班次明細'!$J$18)),1,0)+IF(AND('班次明細'!$L$25&gt;0,$B149&gt;='班次明細'!$G$25,$C149&lt;='班次明細'!$H$25,OR('班次明細'!$K$25=0,$C149&lt;='班次明細'!$I$25,$B149&gt;='班次明細'!$J$25)),1,0)+IF(AND('班次明細'!$L$32&gt;0,$B149&gt;='班次明細'!$G$32,$C149&lt;='班次明細'!$H$32,OR('班次明細'!$K$32=0,$C149&lt;='班次明細'!$I$32,$B149&gt;='班次明細'!$J$32)),1,0)+IF(AND('班次明細'!$L$39&gt;0,$B149&gt;='班次明細'!$G$39,$C149&lt;='班次明細'!$H$39,OR('班次明細'!$K$39=0,$C149&lt;='班次明細'!$I$39,$B149&gt;='班次明細'!$J$39)),1,0)+IF(AND('班次明細'!$L$46&gt;0,$B149&gt;='班次明細'!$G$46,$C149&lt;='班次明細'!$H$46,OR('班次明細'!$K$46=0,$C149&lt;='班次明細'!$I$46,$B149&gt;='班次明細'!$J$46)),1,0)+IF(AND('班次明細'!$L$53&gt;0,$B149&gt;='班次明細'!$G$53,$C149&lt;='班次明細'!$H$53,OR('班次明細'!$K$53=0,$C149&lt;='班次明細'!$I$53,$B149&gt;='班次明細'!$J$53)),1,0)+IF(AND('班次明細'!$L$60&gt;0,$B149&gt;='班次明細'!$G$60,$C149&lt;='班次明細'!$H$60,OR('班次明細'!$K$60=0,$C149&lt;='班次明細'!$I$60,$B149&gt;='班次明細'!$J$60)),1,0)+IF(AND('班次明細'!$L$67&gt;0,$B149&gt;='班次明細'!$G$67,$C149&lt;='班次明細'!$H$67,OR('班次明細'!$K$67=0,$C149&lt;='班次明細'!$I$67,$B149&gt;='班次明細'!$J$67)),1,0)+IF(AND('班次明細'!$L$74&gt;0,$B149&gt;='班次明細'!$G$74,$C149&lt;='班次明細'!$H$74,OR('班次明細'!$K$74=0,$C149&lt;='班次明細'!$I$74,$B149&gt;='班次明細'!$J$74)),1,0)+IF(AND('班次明細'!$L$81&gt;0,$B149&gt;='班次明細'!$G$81,$C149&lt;='班次明細'!$H$81,OR('班次明細'!$K$81=0,$C149&lt;='班次明細'!$I$81,$B149&gt;='班次明細'!$J$81)),1,0)</x:f>
        <x:v>2</x:v>
      </x:c>
      <x:c r="H149" s="2" t="n">
        <x:f>MAX(0,E149-G149)</x:f>
        <x:v>2</x:v>
      </x:c>
      <x:c r="I149" s="2" t="n">
        <x:f>IF(F149="",0,MAX(0,G149-F149))</x:f>
        <x:v>0</x:v>
      </x:c>
      <x:c r="J149" s="2" t="n">
        <x:v>2</x:v>
      </x:c>
      <x:c r="K149" s="11" t="str"/>
      <x:c r="L149" s="11" t="str">
        <x:f>IF(OR(H149&gt;0,J149&gt;0),"營運參考／主管現場協調；收店交接參考",IF(I149&gt;0,"營運參考／主管現場協調","人數足；收店交接參考"))</x:f>
        <x:v>營運參考／主管現場協調；收店交接參考</x:v>
      </x:c>
    </x:row>
    <x:row r="150" ht="42" customHeight="1">
      <x:c r="A150" s="12" t="n">
        <x:v>46285</x:v>
      </x:c>
      <x:c r="B150" s="13" t="n">
        <x:v>0.4166666666666667</x:v>
      </x:c>
      <x:c r="C150" s="13" t="n">
        <x:v>0.4375</x:v>
      </x:c>
      <x:c r="D150" s="2" t="str">
        <x:v>開店</x:v>
      </x:c>
      <x:c r="E150" s="2" t="n">
        <x:v>1</x:v>
      </x:c>
      <x:c r="F150" s="2" t="n">
        <x:v>1</x:v>
      </x:c>
      <x:c r="G150" s="2" t="n">
        <x:f>IF(AND('班次明細'!$L$12&gt;0,$B150&gt;='班次明細'!$G$12,$C150&lt;='班次明細'!$H$12,OR('班次明細'!$K$12=0,$C150&lt;='班次明細'!$I$12,$B150&gt;='班次明細'!$J$12)),1,0)+IF(AND('班次明細'!$L$19&gt;0,$B150&gt;='班次明細'!$G$19,$C150&lt;='班次明細'!$H$19,OR('班次明細'!$K$19=0,$C150&lt;='班次明細'!$I$19,$B150&gt;='班次明細'!$J$19)),1,0)+IF(AND('班次明細'!$L$26&gt;0,$B150&gt;='班次明細'!$G$26,$C150&lt;='班次明細'!$H$26,OR('班次明細'!$K$26=0,$C150&lt;='班次明細'!$I$26,$B150&gt;='班次明細'!$J$26)),1,0)+IF(AND('班次明細'!$L$33&gt;0,$B150&gt;='班次明細'!$G$33,$C150&lt;='班次明細'!$H$33,OR('班次明細'!$K$33=0,$C150&lt;='班次明細'!$I$33,$B150&gt;='班次明細'!$J$33)),1,0)+IF(AND('班次明細'!$L$40&gt;0,$B150&gt;='班次明細'!$G$40,$C150&lt;='班次明細'!$H$40,OR('班次明細'!$K$40=0,$C150&lt;='班次明細'!$I$40,$B150&gt;='班次明細'!$J$40)),1,0)+IF(AND('班次明細'!$L$47&gt;0,$B150&gt;='班次明細'!$G$47,$C150&lt;='班次明細'!$H$47,OR('班次明細'!$K$47=0,$C150&lt;='班次明細'!$I$47,$B150&gt;='班次明細'!$J$47)),1,0)+IF(AND('班次明細'!$L$54&gt;0,$B150&gt;='班次明細'!$G$54,$C150&lt;='班次明細'!$H$54,OR('班次明細'!$K$54=0,$C150&lt;='班次明細'!$I$54,$B150&gt;='班次明細'!$J$54)),1,0)+IF(AND('班次明細'!$L$61&gt;0,$B150&gt;='班次明細'!$G$61,$C150&lt;='班次明細'!$H$61,OR('班次明細'!$K$61=0,$C150&lt;='班次明細'!$I$61,$B150&gt;='班次明細'!$J$61)),1,0)+IF(AND('班次明細'!$L$68&gt;0,$B150&gt;='班次明細'!$G$68,$C150&lt;='班次明細'!$H$68,OR('班次明細'!$K$68=0,$C150&lt;='班次明細'!$I$68,$B150&gt;='班次明細'!$J$68)),1,0)+IF(AND('班次明細'!$L$75&gt;0,$B150&gt;='班次明細'!$G$75,$C150&lt;='班次明細'!$H$75,OR('班次明細'!$K$75=0,$C150&lt;='班次明細'!$I$75,$B150&gt;='班次明細'!$J$75)),1,0)+IF(AND('班次明細'!$L$82&gt;0,$B150&gt;='班次明細'!$G$82,$C150&lt;='班次明細'!$H$82,OR('班次明細'!$K$82=0,$C150&lt;='班次明細'!$I$82,$B150&gt;='班次明細'!$J$82)),1,0)</x:f>
        <x:v>1</x:v>
      </x:c>
      <x:c r="H150" s="2" t="n">
        <x:f>MAX(0,E150-G150)</x:f>
        <x:v>0</x:v>
      </x:c>
      <x:c r="I150" s="2" t="n">
        <x:f>IF(F150="",0,MAX(0,G150-F150))</x:f>
        <x:v>0</x:v>
      </x:c>
      <x:c r="J150" s="2" t="n">
        <x:v>0</x:v>
      </x:c>
      <x:c r="K150" s="11" t="str"/>
      <x:c r="L150" s="11" t="str">
        <x:f>IF(OR(H150&gt;0,J150&gt;0),"營運參考／主管現場協調",IF(I150&gt;0,"營運參考／主管現場協調","本段人力足夠"))</x:f>
        <x:v>本段人力足夠</x:v>
      </x:c>
    </x:row>
    <x:row r="151" ht="42" customHeight="1">
      <x:c r="A151" s="12" t="n">
        <x:v>46285</x:v>
      </x:c>
      <x:c r="B151" s="13" t="n">
        <x:v>0.4375</x:v>
      </x:c>
      <x:c r="C151" s="13" t="n">
        <x:v>0.4583333333333333</x:v>
      </x:c>
      <x:c r="D151" s="2" t="str">
        <x:v>開店</x:v>
      </x:c>
      <x:c r="E151" s="2" t="n">
        <x:v>1</x:v>
      </x:c>
      <x:c r="F151" s="2" t="n">
        <x:v>1</x:v>
      </x:c>
      <x:c r="G151" s="2" t="n">
        <x:f>IF(AND('班次明細'!$L$12&gt;0,$B151&gt;='班次明細'!$G$12,$C151&lt;='班次明細'!$H$12,OR('班次明細'!$K$12=0,$C151&lt;='班次明細'!$I$12,$B151&gt;='班次明細'!$J$12)),1,0)+IF(AND('班次明細'!$L$19&gt;0,$B151&gt;='班次明細'!$G$19,$C151&lt;='班次明細'!$H$19,OR('班次明細'!$K$19=0,$C151&lt;='班次明細'!$I$19,$B151&gt;='班次明細'!$J$19)),1,0)+IF(AND('班次明細'!$L$26&gt;0,$B151&gt;='班次明細'!$G$26,$C151&lt;='班次明細'!$H$26,OR('班次明細'!$K$26=0,$C151&lt;='班次明細'!$I$26,$B151&gt;='班次明細'!$J$26)),1,0)+IF(AND('班次明細'!$L$33&gt;0,$B151&gt;='班次明細'!$G$33,$C151&lt;='班次明細'!$H$33,OR('班次明細'!$K$33=0,$C151&lt;='班次明細'!$I$33,$B151&gt;='班次明細'!$J$33)),1,0)+IF(AND('班次明細'!$L$40&gt;0,$B151&gt;='班次明細'!$G$40,$C151&lt;='班次明細'!$H$40,OR('班次明細'!$K$40=0,$C151&lt;='班次明細'!$I$40,$B151&gt;='班次明細'!$J$40)),1,0)+IF(AND('班次明細'!$L$47&gt;0,$B151&gt;='班次明細'!$G$47,$C151&lt;='班次明細'!$H$47,OR('班次明細'!$K$47=0,$C151&lt;='班次明細'!$I$47,$B151&gt;='班次明細'!$J$47)),1,0)+IF(AND('班次明細'!$L$54&gt;0,$B151&gt;='班次明細'!$G$54,$C151&lt;='班次明細'!$H$54,OR('班次明細'!$K$54=0,$C151&lt;='班次明細'!$I$54,$B151&gt;='班次明細'!$J$54)),1,0)+IF(AND('班次明細'!$L$61&gt;0,$B151&gt;='班次明細'!$G$61,$C151&lt;='班次明細'!$H$61,OR('班次明細'!$K$61=0,$C151&lt;='班次明細'!$I$61,$B151&gt;='班次明細'!$J$61)),1,0)+IF(AND('班次明細'!$L$68&gt;0,$B151&gt;='班次明細'!$G$68,$C151&lt;='班次明細'!$H$68,OR('班次明細'!$K$68=0,$C151&lt;='班次明細'!$I$68,$B151&gt;='班次明細'!$J$68)),1,0)+IF(AND('班次明細'!$L$75&gt;0,$B151&gt;='班次明細'!$G$75,$C151&lt;='班次明細'!$H$75,OR('班次明細'!$K$75=0,$C151&lt;='班次明細'!$I$75,$B151&gt;='班次明細'!$J$75)),1,0)+IF(AND('班次明細'!$L$82&gt;0,$B151&gt;='班次明細'!$G$82,$C151&lt;='班次明細'!$H$82,OR('班次明細'!$K$82=0,$C151&lt;='班次明細'!$I$82,$B151&gt;='班次明細'!$J$82)),1,0)</x:f>
        <x:v>1</x:v>
      </x:c>
      <x:c r="H151" s="2" t="n">
        <x:f>MAX(0,E151-G151)</x:f>
        <x:v>0</x:v>
      </x:c>
      <x:c r="I151" s="2" t="n">
        <x:f>IF(F151="",0,MAX(0,G151-F151))</x:f>
        <x:v>0</x:v>
      </x:c>
      <x:c r="J151" s="2" t="n">
        <x:v>0</x:v>
      </x:c>
      <x:c r="K151" s="11" t="str"/>
      <x:c r="L151" s="11" t="str">
        <x:f>IF(OR(H151&gt;0,J151&gt;0),"營運參考／主管現場協調",IF(I151&gt;0,"營運參考／主管現場協調","本段人力足夠"))</x:f>
        <x:v>本段人力足夠</x:v>
      </x:c>
    </x:row>
    <x:row r="152" ht="42" customHeight="1">
      <x:c r="A152" s="12" t="n">
        <x:v>46285</x:v>
      </x:c>
      <x:c r="B152" s="13" t="n">
        <x:v>0.4583333333333333</x:v>
      </x:c>
      <x:c r="C152" s="13" t="n">
        <x:v>0.4791666666666667</x:v>
      </x:c>
      <x:c r="D152" s="2" t="str">
        <x:v>假日離峰</x:v>
      </x:c>
      <x:c r="E152" s="2" t="n">
        <x:v>3</x:v>
      </x:c>
      <x:c r="F152" s="2"/>
      <x:c r="G152" s="2" t="n">
        <x:f>IF(AND('班次明細'!$L$12&gt;0,$B152&gt;='班次明細'!$G$12,$C152&lt;='班次明細'!$H$12,OR('班次明細'!$K$12=0,$C152&lt;='班次明細'!$I$12,$B152&gt;='班次明細'!$J$12)),1,0)+IF(AND('班次明細'!$L$19&gt;0,$B152&gt;='班次明細'!$G$19,$C152&lt;='班次明細'!$H$19,OR('班次明細'!$K$19=0,$C152&lt;='班次明細'!$I$19,$B152&gt;='班次明細'!$J$19)),1,0)+IF(AND('班次明細'!$L$26&gt;0,$B152&gt;='班次明細'!$G$26,$C152&lt;='班次明細'!$H$26,OR('班次明細'!$K$26=0,$C152&lt;='班次明細'!$I$26,$B152&gt;='班次明細'!$J$26)),1,0)+IF(AND('班次明細'!$L$33&gt;0,$B152&gt;='班次明細'!$G$33,$C152&lt;='班次明細'!$H$33,OR('班次明細'!$K$33=0,$C152&lt;='班次明細'!$I$33,$B152&gt;='班次明細'!$J$33)),1,0)+IF(AND('班次明細'!$L$40&gt;0,$B152&gt;='班次明細'!$G$40,$C152&lt;='班次明細'!$H$40,OR('班次明細'!$K$40=0,$C152&lt;='班次明細'!$I$40,$B152&gt;='班次明細'!$J$40)),1,0)+IF(AND('班次明細'!$L$47&gt;0,$B152&gt;='班次明細'!$G$47,$C152&lt;='班次明細'!$H$47,OR('班次明細'!$K$47=0,$C152&lt;='班次明細'!$I$47,$B152&gt;='班次明細'!$J$47)),1,0)+IF(AND('班次明細'!$L$54&gt;0,$B152&gt;='班次明細'!$G$54,$C152&lt;='班次明細'!$H$54,OR('班次明細'!$K$54=0,$C152&lt;='班次明細'!$I$54,$B152&gt;='班次明細'!$J$54)),1,0)+IF(AND('班次明細'!$L$61&gt;0,$B152&gt;='班次明細'!$G$61,$C152&lt;='班次明細'!$H$61,OR('班次明細'!$K$61=0,$C152&lt;='班次明細'!$I$61,$B152&gt;='班次明細'!$J$61)),1,0)+IF(AND('班次明細'!$L$68&gt;0,$B152&gt;='班次明細'!$G$68,$C152&lt;='班次明細'!$H$68,OR('班次明細'!$K$68=0,$C152&lt;='班次明細'!$I$68,$B152&gt;='班次明細'!$J$68)),1,0)+IF(AND('班次明細'!$L$75&gt;0,$B152&gt;='班次明細'!$G$75,$C152&lt;='班次明細'!$H$75,OR('班次明細'!$K$75=0,$C152&lt;='班次明細'!$I$75,$B152&gt;='班次明細'!$J$75)),1,0)+IF(AND('班次明細'!$L$82&gt;0,$B152&gt;='班次明細'!$G$82,$C152&lt;='班次明細'!$H$82,OR('班次明細'!$K$82=0,$C152&lt;='班次明細'!$I$82,$B152&gt;='班次明細'!$J$82)),1,0)</x:f>
        <x:v>2</x:v>
      </x:c>
      <x:c r="H152" s="2" t="n">
        <x:f>MAX(0,E152-G152)</x:f>
        <x:v>1</x:v>
      </x:c>
      <x:c r="I152" s="2" t="n">
        <x:f>IF(F152="",0,MAX(0,G152-F152))</x:f>
        <x:v>0</x:v>
      </x:c>
      <x:c r="J152" s="2" t="n">
        <x:v>1</x:v>
      </x:c>
      <x:c r="K152" s="11" t="str"/>
      <x:c r="L152" s="11" t="str">
        <x:f>IF(OR(H152&gt;0,J152&gt;0),"營運參考／主管現場協調",IF(I152&gt;0,"營運參考／主管現場協調","本段人力足夠"))</x:f>
        <x:v>營運參考／主管現場協調</x:v>
      </x:c>
    </x:row>
    <x:row r="153" ht="42" customHeight="1">
      <x:c r="A153" s="12" t="n">
        <x:v>46285</x:v>
      </x:c>
      <x:c r="B153" s="13" t="n">
        <x:v>0.4791666666666667</x:v>
      </x:c>
      <x:c r="C153" s="13" t="n">
        <x:v>0.5</x:v>
      </x:c>
      <x:c r="D153" s="2" t="str">
        <x:v>假日午峰</x:v>
      </x:c>
      <x:c r="E153" s="2" t="n">
        <x:v>6</x:v>
      </x:c>
      <x:c r="F153" s="2" t="n">
        <x:v>7</x:v>
      </x:c>
      <x:c r="G153" s="2" t="n">
        <x:f>IF(AND('班次明細'!$L$12&gt;0,$B153&gt;='班次明細'!$G$12,$C153&lt;='班次明細'!$H$12,OR('班次明細'!$K$12=0,$C153&lt;='班次明細'!$I$12,$B153&gt;='班次明細'!$J$12)),1,0)+IF(AND('班次明細'!$L$19&gt;0,$B153&gt;='班次明細'!$G$19,$C153&lt;='班次明細'!$H$19,OR('班次明細'!$K$19=0,$C153&lt;='班次明細'!$I$19,$B153&gt;='班次明細'!$J$19)),1,0)+IF(AND('班次明細'!$L$26&gt;0,$B153&gt;='班次明細'!$G$26,$C153&lt;='班次明細'!$H$26,OR('班次明細'!$K$26=0,$C153&lt;='班次明細'!$I$26,$B153&gt;='班次明細'!$J$26)),1,0)+IF(AND('班次明細'!$L$33&gt;0,$B153&gt;='班次明細'!$G$33,$C153&lt;='班次明細'!$H$33,OR('班次明細'!$K$33=0,$C153&lt;='班次明細'!$I$33,$B153&gt;='班次明細'!$J$33)),1,0)+IF(AND('班次明細'!$L$40&gt;0,$B153&gt;='班次明細'!$G$40,$C153&lt;='班次明細'!$H$40,OR('班次明細'!$K$40=0,$C153&lt;='班次明細'!$I$40,$B153&gt;='班次明細'!$J$40)),1,0)+IF(AND('班次明細'!$L$47&gt;0,$B153&gt;='班次明細'!$G$47,$C153&lt;='班次明細'!$H$47,OR('班次明細'!$K$47=0,$C153&lt;='班次明細'!$I$47,$B153&gt;='班次明細'!$J$47)),1,0)+IF(AND('班次明細'!$L$54&gt;0,$B153&gt;='班次明細'!$G$54,$C153&lt;='班次明細'!$H$54,OR('班次明細'!$K$54=0,$C153&lt;='班次明細'!$I$54,$B153&gt;='班次明細'!$J$54)),1,0)+IF(AND('班次明細'!$L$61&gt;0,$B153&gt;='班次明細'!$G$61,$C153&lt;='班次明細'!$H$61,OR('班次明細'!$K$61=0,$C153&lt;='班次明細'!$I$61,$B153&gt;='班次明細'!$J$61)),1,0)+IF(AND('班次明細'!$L$68&gt;0,$B153&gt;='班次明細'!$G$68,$C153&lt;='班次明細'!$H$68,OR('班次明細'!$K$68=0,$C153&lt;='班次明細'!$I$68,$B153&gt;='班次明細'!$J$68)),1,0)+IF(AND('班次明細'!$L$75&gt;0,$B153&gt;='班次明細'!$G$75,$C153&lt;='班次明細'!$H$75,OR('班次明細'!$K$75=0,$C153&lt;='班次明細'!$I$75,$B153&gt;='班次明細'!$J$75)),1,0)+IF(AND('班次明細'!$L$82&gt;0,$B153&gt;='班次明細'!$G$82,$C153&lt;='班次明細'!$H$82,OR('班次明細'!$K$82=0,$C153&lt;='班次明細'!$I$82,$B153&gt;='班次明細'!$J$82)),1,0)</x:f>
        <x:v>5</x:v>
      </x:c>
      <x:c r="H153" s="2" t="n">
        <x:f>MAX(0,E153-G153)</x:f>
        <x:v>1</x:v>
      </x:c>
      <x:c r="I153" s="2" t="n">
        <x:f>IF(F153="",0,MAX(0,G153-F153))</x:f>
        <x:v>0</x:v>
      </x:c>
      <x:c r="J153" s="2" t="n">
        <x:v>1</x:v>
      </x:c>
      <x:c r="K153" s="11" t="str">
        <x:v>炸區</x:v>
      </x:c>
      <x:c r="L153" s="11" t="str">
        <x:f>IF(OR(H153&gt;0,J153&gt;0),"營運參考／主管現場協調",IF(I153&gt;0,"營運參考／主管現場協調","本段人力足夠"))</x:f>
        <x:v>營運參考／主管現場協調</x:v>
      </x:c>
    </x:row>
    <x:row r="154" ht="42" customHeight="1">
      <x:c r="A154" s="12" t="n">
        <x:v>46285</x:v>
      </x:c>
      <x:c r="B154" s="13" t="n">
        <x:v>0.5</x:v>
      </x:c>
      <x:c r="C154" s="13" t="n">
        <x:v>0.5208333333333334</x:v>
      </x:c>
      <x:c r="D154" s="2" t="str">
        <x:v>假日午峰</x:v>
      </x:c>
      <x:c r="E154" s="2" t="n">
        <x:v>6</x:v>
      </x:c>
      <x:c r="F154" s="2" t="n">
        <x:v>7</x:v>
      </x:c>
      <x:c r="G154" s="2" t="n">
        <x:f>IF(AND('班次明細'!$L$12&gt;0,$B154&gt;='班次明細'!$G$12,$C154&lt;='班次明細'!$H$12,OR('班次明細'!$K$12=0,$C154&lt;='班次明細'!$I$12,$B154&gt;='班次明細'!$J$12)),1,0)+IF(AND('班次明細'!$L$19&gt;0,$B154&gt;='班次明細'!$G$19,$C154&lt;='班次明細'!$H$19,OR('班次明細'!$K$19=0,$C154&lt;='班次明細'!$I$19,$B154&gt;='班次明細'!$J$19)),1,0)+IF(AND('班次明細'!$L$26&gt;0,$B154&gt;='班次明細'!$G$26,$C154&lt;='班次明細'!$H$26,OR('班次明細'!$K$26=0,$C154&lt;='班次明細'!$I$26,$B154&gt;='班次明細'!$J$26)),1,0)+IF(AND('班次明細'!$L$33&gt;0,$B154&gt;='班次明細'!$G$33,$C154&lt;='班次明細'!$H$33,OR('班次明細'!$K$33=0,$C154&lt;='班次明細'!$I$33,$B154&gt;='班次明細'!$J$33)),1,0)+IF(AND('班次明細'!$L$40&gt;0,$B154&gt;='班次明細'!$G$40,$C154&lt;='班次明細'!$H$40,OR('班次明細'!$K$40=0,$C154&lt;='班次明細'!$I$40,$B154&gt;='班次明細'!$J$40)),1,0)+IF(AND('班次明細'!$L$47&gt;0,$B154&gt;='班次明細'!$G$47,$C154&lt;='班次明細'!$H$47,OR('班次明細'!$K$47=0,$C154&lt;='班次明細'!$I$47,$B154&gt;='班次明細'!$J$47)),1,0)+IF(AND('班次明細'!$L$54&gt;0,$B154&gt;='班次明細'!$G$54,$C154&lt;='班次明細'!$H$54,OR('班次明細'!$K$54=0,$C154&lt;='班次明細'!$I$54,$B154&gt;='班次明細'!$J$54)),1,0)+IF(AND('班次明細'!$L$61&gt;0,$B154&gt;='班次明細'!$G$61,$C154&lt;='班次明細'!$H$61,OR('班次明細'!$K$61=0,$C154&lt;='班次明細'!$I$61,$B154&gt;='班次明細'!$J$61)),1,0)+IF(AND('班次明細'!$L$68&gt;0,$B154&gt;='班次明細'!$G$68,$C154&lt;='班次明細'!$H$68,OR('班次明細'!$K$68=0,$C154&lt;='班次明細'!$I$68,$B154&gt;='班次明細'!$J$68)),1,0)+IF(AND('班次明細'!$L$75&gt;0,$B154&gt;='班次明細'!$G$75,$C154&lt;='班次明細'!$H$75,OR('班次明細'!$K$75=0,$C154&lt;='班次明細'!$I$75,$B154&gt;='班次明細'!$J$75)),1,0)+IF(AND('班次明細'!$L$82&gt;0,$B154&gt;='班次明細'!$G$82,$C154&lt;='班次明細'!$H$82,OR('班次明細'!$K$82=0,$C154&lt;='班次明細'!$I$82,$B154&gt;='班次明細'!$J$82)),1,0)</x:f>
        <x:v>6</x:v>
      </x:c>
      <x:c r="H154" s="2" t="n">
        <x:f>MAX(0,E154-G154)</x:f>
        <x:v>0</x:v>
      </x:c>
      <x:c r="I154" s="2" t="n">
        <x:f>IF(F154="",0,MAX(0,G154-F154))</x:f>
        <x:v>0</x:v>
      </x:c>
      <x:c r="J154" s="2" t="n">
        <x:v>0</x:v>
      </x:c>
      <x:c r="K154" s="11" t="str"/>
      <x:c r="L154" s="11" t="str">
        <x:f>IF(OR(H154&gt;0,J154&gt;0),"營運參考／主管現場協調",IF(I154&gt;0,"營運參考／主管現場協調","本段人力足夠"))</x:f>
        <x:v>本段人力足夠</x:v>
      </x:c>
    </x:row>
    <x:row r="155" ht="42" customHeight="1">
      <x:c r="A155" s="12" t="n">
        <x:v>46285</x:v>
      </x:c>
      <x:c r="B155" s="13" t="n">
        <x:v>0.5208333333333334</x:v>
      </x:c>
      <x:c r="C155" s="13" t="n">
        <x:v>0.5416666666666666</x:v>
      </x:c>
      <x:c r="D155" s="2" t="str">
        <x:v>假日午峰</x:v>
      </x:c>
      <x:c r="E155" s="2" t="n">
        <x:v>6</x:v>
      </x:c>
      <x:c r="F155" s="2" t="n">
        <x:v>7</x:v>
      </x:c>
      <x:c r="G155" s="2" t="n">
        <x:f>IF(AND('班次明細'!$L$12&gt;0,$B155&gt;='班次明細'!$G$12,$C155&lt;='班次明細'!$H$12,OR('班次明細'!$K$12=0,$C155&lt;='班次明細'!$I$12,$B155&gt;='班次明細'!$J$12)),1,0)+IF(AND('班次明細'!$L$19&gt;0,$B155&gt;='班次明細'!$G$19,$C155&lt;='班次明細'!$H$19,OR('班次明細'!$K$19=0,$C155&lt;='班次明細'!$I$19,$B155&gt;='班次明細'!$J$19)),1,0)+IF(AND('班次明細'!$L$26&gt;0,$B155&gt;='班次明細'!$G$26,$C155&lt;='班次明細'!$H$26,OR('班次明細'!$K$26=0,$C155&lt;='班次明細'!$I$26,$B155&gt;='班次明細'!$J$26)),1,0)+IF(AND('班次明細'!$L$33&gt;0,$B155&gt;='班次明細'!$G$33,$C155&lt;='班次明細'!$H$33,OR('班次明細'!$K$33=0,$C155&lt;='班次明細'!$I$33,$B155&gt;='班次明細'!$J$33)),1,0)+IF(AND('班次明細'!$L$40&gt;0,$B155&gt;='班次明細'!$G$40,$C155&lt;='班次明細'!$H$40,OR('班次明細'!$K$40=0,$C155&lt;='班次明細'!$I$40,$B155&gt;='班次明細'!$J$40)),1,0)+IF(AND('班次明細'!$L$47&gt;0,$B155&gt;='班次明細'!$G$47,$C155&lt;='班次明細'!$H$47,OR('班次明細'!$K$47=0,$C155&lt;='班次明細'!$I$47,$B155&gt;='班次明細'!$J$47)),1,0)+IF(AND('班次明細'!$L$54&gt;0,$B155&gt;='班次明細'!$G$54,$C155&lt;='班次明細'!$H$54,OR('班次明細'!$K$54=0,$C155&lt;='班次明細'!$I$54,$B155&gt;='班次明細'!$J$54)),1,0)+IF(AND('班次明細'!$L$61&gt;0,$B155&gt;='班次明細'!$G$61,$C155&lt;='班次明細'!$H$61,OR('班次明細'!$K$61=0,$C155&lt;='班次明細'!$I$61,$B155&gt;='班次明細'!$J$61)),1,0)+IF(AND('班次明細'!$L$68&gt;0,$B155&gt;='班次明細'!$G$68,$C155&lt;='班次明細'!$H$68,OR('班次明細'!$K$68=0,$C155&lt;='班次明細'!$I$68,$B155&gt;='班次明細'!$J$68)),1,0)+IF(AND('班次明細'!$L$75&gt;0,$B155&gt;='班次明細'!$G$75,$C155&lt;='班次明細'!$H$75,OR('班次明細'!$K$75=0,$C155&lt;='班次明細'!$I$75,$B155&gt;='班次明細'!$J$75)),1,0)+IF(AND('班次明細'!$L$82&gt;0,$B155&gt;='班次明細'!$G$82,$C155&lt;='班次明細'!$H$82,OR('班次明細'!$K$82=0,$C155&lt;='班次明細'!$I$82,$B155&gt;='班次明細'!$J$82)),1,0)</x:f>
        <x:v>6</x:v>
      </x:c>
      <x:c r="H155" s="2" t="n">
        <x:f>MAX(0,E155-G155)</x:f>
        <x:v>0</x:v>
      </x:c>
      <x:c r="I155" s="2" t="n">
        <x:f>IF(F155="",0,MAX(0,G155-F155))</x:f>
        <x:v>0</x:v>
      </x:c>
      <x:c r="J155" s="2" t="n">
        <x:v>0</x:v>
      </x:c>
      <x:c r="K155" s="11" t="str"/>
      <x:c r="L155" s="11" t="str">
        <x:f>IF(OR(H155&gt;0,J155&gt;0),"營運參考／主管現場協調",IF(I155&gt;0,"營運參考／主管現場協調","本段人力足夠"))</x:f>
        <x:v>本段人力足夠</x:v>
      </x:c>
    </x:row>
    <x:row r="156" ht="42" customHeight="1">
      <x:c r="A156" s="12" t="n">
        <x:v>46285</x:v>
      </x:c>
      <x:c r="B156" s="13" t="n">
        <x:v>0.5416666666666666</x:v>
      </x:c>
      <x:c r="C156" s="13" t="n">
        <x:v>0.5625</x:v>
      </x:c>
      <x:c r="D156" s="2" t="str">
        <x:v>假日午峰</x:v>
      </x:c>
      <x:c r="E156" s="2" t="n">
        <x:v>6</x:v>
      </x:c>
      <x:c r="F156" s="2" t="n">
        <x:v>7</x:v>
      </x:c>
      <x:c r="G156" s="2" t="n">
        <x:f>IF(AND('班次明細'!$L$12&gt;0,$B156&gt;='班次明細'!$G$12,$C156&lt;='班次明細'!$H$12,OR('班次明細'!$K$12=0,$C156&lt;='班次明細'!$I$12,$B156&gt;='班次明細'!$J$12)),1,0)+IF(AND('班次明細'!$L$19&gt;0,$B156&gt;='班次明細'!$G$19,$C156&lt;='班次明細'!$H$19,OR('班次明細'!$K$19=0,$C156&lt;='班次明細'!$I$19,$B156&gt;='班次明細'!$J$19)),1,0)+IF(AND('班次明細'!$L$26&gt;0,$B156&gt;='班次明細'!$G$26,$C156&lt;='班次明細'!$H$26,OR('班次明細'!$K$26=0,$C156&lt;='班次明細'!$I$26,$B156&gt;='班次明細'!$J$26)),1,0)+IF(AND('班次明細'!$L$33&gt;0,$B156&gt;='班次明細'!$G$33,$C156&lt;='班次明細'!$H$33,OR('班次明細'!$K$33=0,$C156&lt;='班次明細'!$I$33,$B156&gt;='班次明細'!$J$33)),1,0)+IF(AND('班次明細'!$L$40&gt;0,$B156&gt;='班次明細'!$G$40,$C156&lt;='班次明細'!$H$40,OR('班次明細'!$K$40=0,$C156&lt;='班次明細'!$I$40,$B156&gt;='班次明細'!$J$40)),1,0)+IF(AND('班次明細'!$L$47&gt;0,$B156&gt;='班次明細'!$G$47,$C156&lt;='班次明細'!$H$47,OR('班次明細'!$K$47=0,$C156&lt;='班次明細'!$I$47,$B156&gt;='班次明細'!$J$47)),1,0)+IF(AND('班次明細'!$L$54&gt;0,$B156&gt;='班次明細'!$G$54,$C156&lt;='班次明細'!$H$54,OR('班次明細'!$K$54=0,$C156&lt;='班次明細'!$I$54,$B156&gt;='班次明細'!$J$54)),1,0)+IF(AND('班次明細'!$L$61&gt;0,$B156&gt;='班次明細'!$G$61,$C156&lt;='班次明細'!$H$61,OR('班次明細'!$K$61=0,$C156&lt;='班次明細'!$I$61,$B156&gt;='班次明細'!$J$61)),1,0)+IF(AND('班次明細'!$L$68&gt;0,$B156&gt;='班次明細'!$G$68,$C156&lt;='班次明細'!$H$68,OR('班次明細'!$K$68=0,$C156&lt;='班次明細'!$I$68,$B156&gt;='班次明細'!$J$68)),1,0)+IF(AND('班次明細'!$L$75&gt;0,$B156&gt;='班次明細'!$G$75,$C156&lt;='班次明細'!$H$75,OR('班次明細'!$K$75=0,$C156&lt;='班次明細'!$I$75,$B156&gt;='班次明細'!$J$75)),1,0)+IF(AND('班次明細'!$L$82&gt;0,$B156&gt;='班次明細'!$G$82,$C156&lt;='班次明細'!$H$82,OR('班次明細'!$K$82=0,$C156&lt;='班次明細'!$I$82,$B156&gt;='班次明細'!$J$82)),1,0)</x:f>
        <x:v>6</x:v>
      </x:c>
      <x:c r="H156" s="2" t="n">
        <x:f>MAX(0,E156-G156)</x:f>
        <x:v>0</x:v>
      </x:c>
      <x:c r="I156" s="2" t="n">
        <x:f>IF(F156="",0,MAX(0,G156-F156))</x:f>
        <x:v>0</x:v>
      </x:c>
      <x:c r="J156" s="2" t="n">
        <x:v>0</x:v>
      </x:c>
      <x:c r="K156" s="11" t="str"/>
      <x:c r="L156" s="11" t="str">
        <x:f>IF(OR(H156&gt;0,J156&gt;0),"營運參考／主管現場協調",IF(I156&gt;0,"營運參考／主管現場協調","本段人力足夠"))</x:f>
        <x:v>本段人力足夠</x:v>
      </x:c>
    </x:row>
    <x:row r="157" ht="42" customHeight="1">
      <x:c r="A157" s="12" t="n">
        <x:v>46285</x:v>
      </x:c>
      <x:c r="B157" s="13" t="n">
        <x:v>0.5625</x:v>
      </x:c>
      <x:c r="C157" s="13" t="n">
        <x:v>0.5833333333333334</x:v>
      </x:c>
      <x:c r="D157" s="2" t="str">
        <x:v>假日午峰</x:v>
      </x:c>
      <x:c r="E157" s="2" t="n">
        <x:v>6</x:v>
      </x:c>
      <x:c r="F157" s="2" t="n">
        <x:v>7</x:v>
      </x:c>
      <x:c r="G157" s="2" t="n">
        <x:f>IF(AND('班次明細'!$L$12&gt;0,$B157&gt;='班次明細'!$G$12,$C157&lt;='班次明細'!$H$12,OR('班次明細'!$K$12=0,$C157&lt;='班次明細'!$I$12,$B157&gt;='班次明細'!$J$12)),1,0)+IF(AND('班次明細'!$L$19&gt;0,$B157&gt;='班次明細'!$G$19,$C157&lt;='班次明細'!$H$19,OR('班次明細'!$K$19=0,$C157&lt;='班次明細'!$I$19,$B157&gt;='班次明細'!$J$19)),1,0)+IF(AND('班次明細'!$L$26&gt;0,$B157&gt;='班次明細'!$G$26,$C157&lt;='班次明細'!$H$26,OR('班次明細'!$K$26=0,$C157&lt;='班次明細'!$I$26,$B157&gt;='班次明細'!$J$26)),1,0)+IF(AND('班次明細'!$L$33&gt;0,$B157&gt;='班次明細'!$G$33,$C157&lt;='班次明細'!$H$33,OR('班次明細'!$K$33=0,$C157&lt;='班次明細'!$I$33,$B157&gt;='班次明細'!$J$33)),1,0)+IF(AND('班次明細'!$L$40&gt;0,$B157&gt;='班次明細'!$G$40,$C157&lt;='班次明細'!$H$40,OR('班次明細'!$K$40=0,$C157&lt;='班次明細'!$I$40,$B157&gt;='班次明細'!$J$40)),1,0)+IF(AND('班次明細'!$L$47&gt;0,$B157&gt;='班次明細'!$G$47,$C157&lt;='班次明細'!$H$47,OR('班次明細'!$K$47=0,$C157&lt;='班次明細'!$I$47,$B157&gt;='班次明細'!$J$47)),1,0)+IF(AND('班次明細'!$L$54&gt;0,$B157&gt;='班次明細'!$G$54,$C157&lt;='班次明細'!$H$54,OR('班次明細'!$K$54=0,$C157&lt;='班次明細'!$I$54,$B157&gt;='班次明細'!$J$54)),1,0)+IF(AND('班次明細'!$L$61&gt;0,$B157&gt;='班次明細'!$G$61,$C157&lt;='班次明細'!$H$61,OR('班次明細'!$K$61=0,$C157&lt;='班次明細'!$I$61,$B157&gt;='班次明細'!$J$61)),1,0)+IF(AND('班次明細'!$L$68&gt;0,$B157&gt;='班次明細'!$G$68,$C157&lt;='班次明細'!$H$68,OR('班次明細'!$K$68=0,$C157&lt;='班次明細'!$I$68,$B157&gt;='班次明細'!$J$68)),1,0)+IF(AND('班次明細'!$L$75&gt;0,$B157&gt;='班次明細'!$G$75,$C157&lt;='班次明細'!$H$75,OR('班次明細'!$K$75=0,$C157&lt;='班次明細'!$I$75,$B157&gt;='班次明細'!$J$75)),1,0)+IF(AND('班次明細'!$L$82&gt;0,$B157&gt;='班次明細'!$G$82,$C157&lt;='班次明細'!$H$82,OR('班次明細'!$K$82=0,$C157&lt;='班次明細'!$I$82,$B157&gt;='班次明細'!$J$82)),1,0)</x:f>
        <x:v>6</x:v>
      </x:c>
      <x:c r="H157" s="2" t="n">
        <x:f>MAX(0,E157-G157)</x:f>
        <x:v>0</x:v>
      </x:c>
      <x:c r="I157" s="2" t="n">
        <x:f>IF(F157="",0,MAX(0,G157-F157))</x:f>
        <x:v>0</x:v>
      </x:c>
      <x:c r="J157" s="2" t="n">
        <x:v>0</x:v>
      </x:c>
      <x:c r="K157" s="11" t="str"/>
      <x:c r="L157" s="11" t="str">
        <x:f>IF(OR(H157&gt;0,J157&gt;0),"營運參考／主管現場協調",IF(I157&gt;0,"營運參考／主管現場協調","本段人力足夠"))</x:f>
        <x:v>本段人力足夠</x:v>
      </x:c>
    </x:row>
    <x:row r="158" ht="42" customHeight="1">
      <x:c r="A158" s="12" t="n">
        <x:v>46285</x:v>
      </x:c>
      <x:c r="B158" s="13" t="n">
        <x:v>0.5833333333333334</x:v>
      </x:c>
      <x:c r="C158" s="13" t="n">
        <x:v>0.6041666666666666</x:v>
      </x:c>
      <x:c r="D158" s="2" t="str">
        <x:v>假日午峰</x:v>
      </x:c>
      <x:c r="E158" s="2" t="n">
        <x:v>6</x:v>
      </x:c>
      <x:c r="F158" s="2" t="n">
        <x:v>7</x:v>
      </x:c>
      <x:c r="G158" s="2" t="n">
        <x:f>IF(AND('班次明細'!$L$12&gt;0,$B158&gt;='班次明細'!$G$12,$C158&lt;='班次明細'!$H$12,OR('班次明細'!$K$12=0,$C158&lt;='班次明細'!$I$12,$B158&gt;='班次明細'!$J$12)),1,0)+IF(AND('班次明細'!$L$19&gt;0,$B158&gt;='班次明細'!$G$19,$C158&lt;='班次明細'!$H$19,OR('班次明細'!$K$19=0,$C158&lt;='班次明細'!$I$19,$B158&gt;='班次明細'!$J$19)),1,0)+IF(AND('班次明細'!$L$26&gt;0,$B158&gt;='班次明細'!$G$26,$C158&lt;='班次明細'!$H$26,OR('班次明細'!$K$26=0,$C158&lt;='班次明細'!$I$26,$B158&gt;='班次明細'!$J$26)),1,0)+IF(AND('班次明細'!$L$33&gt;0,$B158&gt;='班次明細'!$G$33,$C158&lt;='班次明細'!$H$33,OR('班次明細'!$K$33=0,$C158&lt;='班次明細'!$I$33,$B158&gt;='班次明細'!$J$33)),1,0)+IF(AND('班次明細'!$L$40&gt;0,$B158&gt;='班次明細'!$G$40,$C158&lt;='班次明細'!$H$40,OR('班次明細'!$K$40=0,$C158&lt;='班次明細'!$I$40,$B158&gt;='班次明細'!$J$40)),1,0)+IF(AND('班次明細'!$L$47&gt;0,$B158&gt;='班次明細'!$G$47,$C158&lt;='班次明細'!$H$47,OR('班次明細'!$K$47=0,$C158&lt;='班次明細'!$I$47,$B158&gt;='班次明細'!$J$47)),1,0)+IF(AND('班次明細'!$L$54&gt;0,$B158&gt;='班次明細'!$G$54,$C158&lt;='班次明細'!$H$54,OR('班次明細'!$K$54=0,$C158&lt;='班次明細'!$I$54,$B158&gt;='班次明細'!$J$54)),1,0)+IF(AND('班次明細'!$L$61&gt;0,$B158&gt;='班次明細'!$G$61,$C158&lt;='班次明細'!$H$61,OR('班次明細'!$K$61=0,$C158&lt;='班次明細'!$I$61,$B158&gt;='班次明細'!$J$61)),1,0)+IF(AND('班次明細'!$L$68&gt;0,$B158&gt;='班次明細'!$G$68,$C158&lt;='班次明細'!$H$68,OR('班次明細'!$K$68=0,$C158&lt;='班次明細'!$I$68,$B158&gt;='班次明細'!$J$68)),1,0)+IF(AND('班次明細'!$L$75&gt;0,$B158&gt;='班次明細'!$G$75,$C158&lt;='班次明細'!$H$75,OR('班次明細'!$K$75=0,$C158&lt;='班次明細'!$I$75,$B158&gt;='班次明細'!$J$75)),1,0)+IF(AND('班次明細'!$L$82&gt;0,$B158&gt;='班次明細'!$G$82,$C158&lt;='班次明細'!$H$82,OR('班次明細'!$K$82=0,$C158&lt;='班次明細'!$I$82,$B158&gt;='班次明細'!$J$82)),1,0)</x:f>
        <x:v>5</x:v>
      </x:c>
      <x:c r="H158" s="2" t="n">
        <x:f>MAX(0,E158-G158)</x:f>
        <x:v>1</x:v>
      </x:c>
      <x:c r="I158" s="2" t="n">
        <x:f>IF(F158="",0,MAX(0,G158-F158))</x:f>
        <x:v>0</x:v>
      </x:c>
      <x:c r="J158" s="2" t="n">
        <x:v>1</x:v>
      </x:c>
      <x:c r="K158" s="11" t="str">
        <x:v>炸區</x:v>
      </x:c>
      <x:c r="L158" s="11" t="str">
        <x:f>IF(OR(H158&gt;0,J158&gt;0),"營運參考／主管現場協調",IF(I158&gt;0,"營運參考／主管現場協調","本段人力足夠"))</x:f>
        <x:v>營運參考／主管現場協調</x:v>
      </x:c>
    </x:row>
    <x:row r="159" ht="42" customHeight="1">
      <x:c r="A159" s="12" t="n">
        <x:v>46285</x:v>
      </x:c>
      <x:c r="B159" s="13" t="n">
        <x:v>0.6041666666666666</x:v>
      </x:c>
      <x:c r="C159" s="13" t="n">
        <x:v>0.625</x:v>
      </x:c>
      <x:c r="D159" s="2" t="str">
        <x:v>假日離峰</x:v>
      </x:c>
      <x:c r="E159" s="2" t="n">
        <x:v>3</x:v>
      </x:c>
      <x:c r="F159" s="2"/>
      <x:c r="G159" s="2" t="n">
        <x:f>IF(AND('班次明細'!$L$12&gt;0,$B159&gt;='班次明細'!$G$12,$C159&lt;='班次明細'!$H$12,OR('班次明細'!$K$12=0,$C159&lt;='班次明細'!$I$12,$B159&gt;='班次明細'!$J$12)),1,0)+IF(AND('班次明細'!$L$19&gt;0,$B159&gt;='班次明細'!$G$19,$C159&lt;='班次明細'!$H$19,OR('班次明細'!$K$19=0,$C159&lt;='班次明細'!$I$19,$B159&gt;='班次明細'!$J$19)),1,0)+IF(AND('班次明細'!$L$26&gt;0,$B159&gt;='班次明細'!$G$26,$C159&lt;='班次明細'!$H$26,OR('班次明細'!$K$26=0,$C159&lt;='班次明細'!$I$26,$B159&gt;='班次明細'!$J$26)),1,0)+IF(AND('班次明細'!$L$33&gt;0,$B159&gt;='班次明細'!$G$33,$C159&lt;='班次明細'!$H$33,OR('班次明細'!$K$33=0,$C159&lt;='班次明細'!$I$33,$B159&gt;='班次明細'!$J$33)),1,0)+IF(AND('班次明細'!$L$40&gt;0,$B159&gt;='班次明細'!$G$40,$C159&lt;='班次明細'!$H$40,OR('班次明細'!$K$40=0,$C159&lt;='班次明細'!$I$40,$B159&gt;='班次明細'!$J$40)),1,0)+IF(AND('班次明細'!$L$47&gt;0,$B159&gt;='班次明細'!$G$47,$C159&lt;='班次明細'!$H$47,OR('班次明細'!$K$47=0,$C159&lt;='班次明細'!$I$47,$B159&gt;='班次明細'!$J$47)),1,0)+IF(AND('班次明細'!$L$54&gt;0,$B159&gt;='班次明細'!$G$54,$C159&lt;='班次明細'!$H$54,OR('班次明細'!$K$54=0,$C159&lt;='班次明細'!$I$54,$B159&gt;='班次明細'!$J$54)),1,0)+IF(AND('班次明細'!$L$61&gt;0,$B159&gt;='班次明細'!$G$61,$C159&lt;='班次明細'!$H$61,OR('班次明細'!$K$61=0,$C159&lt;='班次明細'!$I$61,$B159&gt;='班次明細'!$J$61)),1,0)+IF(AND('班次明細'!$L$68&gt;0,$B159&gt;='班次明細'!$G$68,$C159&lt;='班次明細'!$H$68,OR('班次明細'!$K$68=0,$C159&lt;='班次明細'!$I$68,$B159&gt;='班次明細'!$J$68)),1,0)+IF(AND('班次明細'!$L$75&gt;0,$B159&gt;='班次明細'!$G$75,$C159&lt;='班次明細'!$H$75,OR('班次明細'!$K$75=0,$C159&lt;='班次明細'!$I$75,$B159&gt;='班次明細'!$J$75)),1,0)+IF(AND('班次明細'!$L$82&gt;0,$B159&gt;='班次明細'!$G$82,$C159&lt;='班次明細'!$H$82,OR('班次明細'!$K$82=0,$C159&lt;='班次明細'!$I$82,$B159&gt;='班次明細'!$J$82)),1,0)</x:f>
        <x:v>5</x:v>
      </x:c>
      <x:c r="H159" s="2" t="n">
        <x:f>MAX(0,E159-G159)</x:f>
        <x:v>0</x:v>
      </x:c>
      <x:c r="I159" s="2" t="n">
        <x:f>IF(F159="",0,MAX(0,G159-F159))</x:f>
        <x:v>0</x:v>
      </x:c>
      <x:c r="J159" s="2" t="n">
        <x:v>0</x:v>
      </x:c>
      <x:c r="K159" s="11" t="str"/>
      <x:c r="L159" s="11" t="str">
        <x:f>IF(OR(H159&gt;0,J159&gt;0),"營運參考／主管現場協調",IF(I159&gt;0,"營運參考／主管現場協調","本段人力足夠"))</x:f>
        <x:v>本段人力足夠</x:v>
      </x:c>
    </x:row>
    <x:row r="160" ht="42" customHeight="1">
      <x:c r="A160" s="12" t="n">
        <x:v>46285</x:v>
      </x:c>
      <x:c r="B160" s="13" t="n">
        <x:v>0.625</x:v>
      </x:c>
      <x:c r="C160" s="13" t="n">
        <x:v>0.6458333333333334</x:v>
      </x:c>
      <x:c r="D160" s="2" t="str">
        <x:v>假日離峰</x:v>
      </x:c>
      <x:c r="E160" s="2" t="n">
        <x:v>3</x:v>
      </x:c>
      <x:c r="F160" s="2"/>
      <x:c r="G160" s="2" t="n">
        <x:f>IF(AND('班次明細'!$L$12&gt;0,$B160&gt;='班次明細'!$G$12,$C160&lt;='班次明細'!$H$12,OR('班次明細'!$K$12=0,$C160&lt;='班次明細'!$I$12,$B160&gt;='班次明細'!$J$12)),1,0)+IF(AND('班次明細'!$L$19&gt;0,$B160&gt;='班次明細'!$G$19,$C160&lt;='班次明細'!$H$19,OR('班次明細'!$K$19=0,$C160&lt;='班次明細'!$I$19,$B160&gt;='班次明細'!$J$19)),1,0)+IF(AND('班次明細'!$L$26&gt;0,$B160&gt;='班次明細'!$G$26,$C160&lt;='班次明細'!$H$26,OR('班次明細'!$K$26=0,$C160&lt;='班次明細'!$I$26,$B160&gt;='班次明細'!$J$26)),1,0)+IF(AND('班次明細'!$L$33&gt;0,$B160&gt;='班次明細'!$G$33,$C160&lt;='班次明細'!$H$33,OR('班次明細'!$K$33=0,$C160&lt;='班次明細'!$I$33,$B160&gt;='班次明細'!$J$33)),1,0)+IF(AND('班次明細'!$L$40&gt;0,$B160&gt;='班次明細'!$G$40,$C160&lt;='班次明細'!$H$40,OR('班次明細'!$K$40=0,$C160&lt;='班次明細'!$I$40,$B160&gt;='班次明細'!$J$40)),1,0)+IF(AND('班次明細'!$L$47&gt;0,$B160&gt;='班次明細'!$G$47,$C160&lt;='班次明細'!$H$47,OR('班次明細'!$K$47=0,$C160&lt;='班次明細'!$I$47,$B160&gt;='班次明細'!$J$47)),1,0)+IF(AND('班次明細'!$L$54&gt;0,$B160&gt;='班次明細'!$G$54,$C160&lt;='班次明細'!$H$54,OR('班次明細'!$K$54=0,$C160&lt;='班次明細'!$I$54,$B160&gt;='班次明細'!$J$54)),1,0)+IF(AND('班次明細'!$L$61&gt;0,$B160&gt;='班次明細'!$G$61,$C160&lt;='班次明細'!$H$61,OR('班次明細'!$K$61=0,$C160&lt;='班次明細'!$I$61,$B160&gt;='班次明細'!$J$61)),1,0)+IF(AND('班次明細'!$L$68&gt;0,$B160&gt;='班次明細'!$G$68,$C160&lt;='班次明細'!$H$68,OR('班次明細'!$K$68=0,$C160&lt;='班次明細'!$I$68,$B160&gt;='班次明細'!$J$68)),1,0)+IF(AND('班次明細'!$L$75&gt;0,$B160&gt;='班次明細'!$G$75,$C160&lt;='班次明細'!$H$75,OR('班次明細'!$K$75=0,$C160&lt;='班次明細'!$I$75,$B160&gt;='班次明細'!$J$75)),1,0)+IF(AND('班次明細'!$L$82&gt;0,$B160&gt;='班次明細'!$G$82,$C160&lt;='班次明細'!$H$82,OR('班次明細'!$K$82=0,$C160&lt;='班次明細'!$I$82,$B160&gt;='班次明細'!$J$82)),1,0)</x:f>
        <x:v>4</x:v>
      </x:c>
      <x:c r="H160" s="2" t="n">
        <x:f>MAX(0,E160-G160)</x:f>
        <x:v>0</x:v>
      </x:c>
      <x:c r="I160" s="2" t="n">
        <x:f>IF(F160="",0,MAX(0,G160-F160))</x:f>
        <x:v>0</x:v>
      </x:c>
      <x:c r="J160" s="2" t="n">
        <x:v>0</x:v>
      </x:c>
      <x:c r="K160" s="11" t="str"/>
      <x:c r="L160" s="11" t="str">
        <x:f>IF(OR(H160&gt;0,J160&gt;0),"營運參考／主管現場協調",IF(I160&gt;0,"營運參考／主管現場協調","本段人力足夠"))</x:f>
        <x:v>本段人力足夠</x:v>
      </x:c>
    </x:row>
    <x:row r="161" ht="42" customHeight="1">
      <x:c r="A161" s="12" t="n">
        <x:v>46285</x:v>
      </x:c>
      <x:c r="B161" s="13" t="n">
        <x:v>0.6458333333333334</x:v>
      </x:c>
      <x:c r="C161" s="13" t="n">
        <x:v>0.6666666666666666</x:v>
      </x:c>
      <x:c r="D161" s="2" t="str">
        <x:v>假日離峰</x:v>
      </x:c>
      <x:c r="E161" s="2" t="n">
        <x:v>3</x:v>
      </x:c>
      <x:c r="F161" s="2"/>
      <x:c r="G161" s="2" t="n">
        <x:f>IF(AND('班次明細'!$L$12&gt;0,$B161&gt;='班次明細'!$G$12,$C161&lt;='班次明細'!$H$12,OR('班次明細'!$K$12=0,$C161&lt;='班次明細'!$I$12,$B161&gt;='班次明細'!$J$12)),1,0)+IF(AND('班次明細'!$L$19&gt;0,$B161&gt;='班次明細'!$G$19,$C161&lt;='班次明細'!$H$19,OR('班次明細'!$K$19=0,$C161&lt;='班次明細'!$I$19,$B161&gt;='班次明細'!$J$19)),1,0)+IF(AND('班次明細'!$L$26&gt;0,$B161&gt;='班次明細'!$G$26,$C161&lt;='班次明細'!$H$26,OR('班次明細'!$K$26=0,$C161&lt;='班次明細'!$I$26,$B161&gt;='班次明細'!$J$26)),1,0)+IF(AND('班次明細'!$L$33&gt;0,$B161&gt;='班次明細'!$G$33,$C161&lt;='班次明細'!$H$33,OR('班次明細'!$K$33=0,$C161&lt;='班次明細'!$I$33,$B161&gt;='班次明細'!$J$33)),1,0)+IF(AND('班次明細'!$L$40&gt;0,$B161&gt;='班次明細'!$G$40,$C161&lt;='班次明細'!$H$40,OR('班次明細'!$K$40=0,$C161&lt;='班次明細'!$I$40,$B161&gt;='班次明細'!$J$40)),1,0)+IF(AND('班次明細'!$L$47&gt;0,$B161&gt;='班次明細'!$G$47,$C161&lt;='班次明細'!$H$47,OR('班次明細'!$K$47=0,$C161&lt;='班次明細'!$I$47,$B161&gt;='班次明細'!$J$47)),1,0)+IF(AND('班次明細'!$L$54&gt;0,$B161&gt;='班次明細'!$G$54,$C161&lt;='班次明細'!$H$54,OR('班次明細'!$K$54=0,$C161&lt;='班次明細'!$I$54,$B161&gt;='班次明細'!$J$54)),1,0)+IF(AND('班次明細'!$L$61&gt;0,$B161&gt;='班次明細'!$G$61,$C161&lt;='班次明細'!$H$61,OR('班次明細'!$K$61=0,$C161&lt;='班次明細'!$I$61,$B161&gt;='班次明細'!$J$61)),1,0)+IF(AND('班次明細'!$L$68&gt;0,$B161&gt;='班次明細'!$G$68,$C161&lt;='班次明細'!$H$68,OR('班次明細'!$K$68=0,$C161&lt;='班次明細'!$I$68,$B161&gt;='班次明細'!$J$68)),1,0)+IF(AND('班次明細'!$L$75&gt;0,$B161&gt;='班次明細'!$G$75,$C161&lt;='班次明細'!$H$75,OR('班次明細'!$K$75=0,$C161&lt;='班次明細'!$I$75,$B161&gt;='班次明細'!$J$75)),1,0)+IF(AND('班次明細'!$L$82&gt;0,$B161&gt;='班次明細'!$G$82,$C161&lt;='班次明細'!$H$82,OR('班次明細'!$K$82=0,$C161&lt;='班次明細'!$I$82,$B161&gt;='班次明細'!$J$82)),1,0)</x:f>
        <x:v>3</x:v>
      </x:c>
      <x:c r="H161" s="2" t="n">
        <x:f>MAX(0,E161-G161)</x:f>
        <x:v>0</x:v>
      </x:c>
      <x:c r="I161" s="2" t="n">
        <x:f>IF(F161="",0,MAX(0,G161-F161))</x:f>
        <x:v>0</x:v>
      </x:c>
      <x:c r="J161" s="2" t="n">
        <x:v>0</x:v>
      </x:c>
      <x:c r="K161" s="11" t="str"/>
      <x:c r="L161" s="11" t="str">
        <x:f>IF(OR(H161&gt;0,J161&gt;0),"營運參考／主管現場協調",IF(I161&gt;0,"營運參考／主管現場協調","本段人力足夠"))</x:f>
        <x:v>本段人力足夠</x:v>
      </x:c>
    </x:row>
    <x:row r="162" ht="42" customHeight="1">
      <x:c r="A162" s="12" t="n">
        <x:v>46285</x:v>
      </x:c>
      <x:c r="B162" s="13" t="n">
        <x:v>0.6666666666666666</x:v>
      </x:c>
      <x:c r="C162" s="13" t="n">
        <x:v>0.6875</x:v>
      </x:c>
      <x:c r="D162" s="2" t="str">
        <x:v>假日離峰</x:v>
      </x:c>
      <x:c r="E162" s="2" t="n">
        <x:v>3</x:v>
      </x:c>
      <x:c r="F162" s="2"/>
      <x:c r="G162" s="2" t="n">
        <x:f>IF(AND('班次明細'!$L$12&gt;0,$B162&gt;='班次明細'!$G$12,$C162&lt;='班次明細'!$H$12,OR('班次明細'!$K$12=0,$C162&lt;='班次明細'!$I$12,$B162&gt;='班次明細'!$J$12)),1,0)+IF(AND('班次明細'!$L$19&gt;0,$B162&gt;='班次明細'!$G$19,$C162&lt;='班次明細'!$H$19,OR('班次明細'!$K$19=0,$C162&lt;='班次明細'!$I$19,$B162&gt;='班次明細'!$J$19)),1,0)+IF(AND('班次明細'!$L$26&gt;0,$B162&gt;='班次明細'!$G$26,$C162&lt;='班次明細'!$H$26,OR('班次明細'!$K$26=0,$C162&lt;='班次明細'!$I$26,$B162&gt;='班次明細'!$J$26)),1,0)+IF(AND('班次明細'!$L$33&gt;0,$B162&gt;='班次明細'!$G$33,$C162&lt;='班次明細'!$H$33,OR('班次明細'!$K$33=0,$C162&lt;='班次明細'!$I$33,$B162&gt;='班次明細'!$J$33)),1,0)+IF(AND('班次明細'!$L$40&gt;0,$B162&gt;='班次明細'!$G$40,$C162&lt;='班次明細'!$H$40,OR('班次明細'!$K$40=0,$C162&lt;='班次明細'!$I$40,$B162&gt;='班次明細'!$J$40)),1,0)+IF(AND('班次明細'!$L$47&gt;0,$B162&gt;='班次明細'!$G$47,$C162&lt;='班次明細'!$H$47,OR('班次明細'!$K$47=0,$C162&lt;='班次明細'!$I$47,$B162&gt;='班次明細'!$J$47)),1,0)+IF(AND('班次明細'!$L$54&gt;0,$B162&gt;='班次明細'!$G$54,$C162&lt;='班次明細'!$H$54,OR('班次明細'!$K$54=0,$C162&lt;='班次明細'!$I$54,$B162&gt;='班次明細'!$J$54)),1,0)+IF(AND('班次明細'!$L$61&gt;0,$B162&gt;='班次明細'!$G$61,$C162&lt;='班次明細'!$H$61,OR('班次明細'!$K$61=0,$C162&lt;='班次明細'!$I$61,$B162&gt;='班次明細'!$J$61)),1,0)+IF(AND('班次明細'!$L$68&gt;0,$B162&gt;='班次明細'!$G$68,$C162&lt;='班次明細'!$H$68,OR('班次明細'!$K$68=0,$C162&lt;='班次明細'!$I$68,$B162&gt;='班次明細'!$J$68)),1,0)+IF(AND('班次明細'!$L$75&gt;0,$B162&gt;='班次明細'!$G$75,$C162&lt;='班次明細'!$H$75,OR('班次明細'!$K$75=0,$C162&lt;='班次明細'!$I$75,$B162&gt;='班次明細'!$J$75)),1,0)+IF(AND('班次明細'!$L$82&gt;0,$B162&gt;='班次明細'!$G$82,$C162&lt;='班次明細'!$H$82,OR('班次明細'!$K$82=0,$C162&lt;='班次明細'!$I$82,$B162&gt;='班次明細'!$J$82)),1,0)</x:f>
        <x:v>3</x:v>
      </x:c>
      <x:c r="H162" s="2" t="n">
        <x:f>MAX(0,E162-G162)</x:f>
        <x:v>0</x:v>
      </x:c>
      <x:c r="I162" s="2" t="n">
        <x:f>IF(F162="",0,MAX(0,G162-F162))</x:f>
        <x:v>0</x:v>
      </x:c>
      <x:c r="J162" s="2" t="n">
        <x:v>0</x:v>
      </x:c>
      <x:c r="K162" s="11" t="str"/>
      <x:c r="L162" s="11" t="str">
        <x:f>IF(OR(H162&gt;0,J162&gt;0),"營運參考／主管現場協調",IF(I162&gt;0,"營運參考／主管現場協調","本段人力足夠"))</x:f>
        <x:v>本段人力足夠</x:v>
      </x:c>
    </x:row>
    <x:row r="163" ht="42" customHeight="1">
      <x:c r="A163" s="12" t="n">
        <x:v>46285</x:v>
      </x:c>
      <x:c r="B163" s="13" t="n">
        <x:v>0.6875</x:v>
      </x:c>
      <x:c r="C163" s="13" t="n">
        <x:v>0.7083333333333334</x:v>
      </x:c>
      <x:c r="D163" s="2" t="str">
        <x:v>假日離峰</x:v>
      </x:c>
      <x:c r="E163" s="2" t="n">
        <x:v>3</x:v>
      </x:c>
      <x:c r="F163" s="2"/>
      <x:c r="G163" s="2" t="n">
        <x:f>IF(AND('班次明細'!$L$12&gt;0,$B163&gt;='班次明細'!$G$12,$C163&lt;='班次明細'!$H$12,OR('班次明細'!$K$12=0,$C163&lt;='班次明細'!$I$12,$B163&gt;='班次明細'!$J$12)),1,0)+IF(AND('班次明細'!$L$19&gt;0,$B163&gt;='班次明細'!$G$19,$C163&lt;='班次明細'!$H$19,OR('班次明細'!$K$19=0,$C163&lt;='班次明細'!$I$19,$B163&gt;='班次明細'!$J$19)),1,0)+IF(AND('班次明細'!$L$26&gt;0,$B163&gt;='班次明細'!$G$26,$C163&lt;='班次明細'!$H$26,OR('班次明細'!$K$26=0,$C163&lt;='班次明細'!$I$26,$B163&gt;='班次明細'!$J$26)),1,0)+IF(AND('班次明細'!$L$33&gt;0,$B163&gt;='班次明細'!$G$33,$C163&lt;='班次明細'!$H$33,OR('班次明細'!$K$33=0,$C163&lt;='班次明細'!$I$33,$B163&gt;='班次明細'!$J$33)),1,0)+IF(AND('班次明細'!$L$40&gt;0,$B163&gt;='班次明細'!$G$40,$C163&lt;='班次明細'!$H$40,OR('班次明細'!$K$40=0,$C163&lt;='班次明細'!$I$40,$B163&gt;='班次明細'!$J$40)),1,0)+IF(AND('班次明細'!$L$47&gt;0,$B163&gt;='班次明細'!$G$47,$C163&lt;='班次明細'!$H$47,OR('班次明細'!$K$47=0,$C163&lt;='班次明細'!$I$47,$B163&gt;='班次明細'!$J$47)),1,0)+IF(AND('班次明細'!$L$54&gt;0,$B163&gt;='班次明細'!$G$54,$C163&lt;='班次明細'!$H$54,OR('班次明細'!$K$54=0,$C163&lt;='班次明細'!$I$54,$B163&gt;='班次明細'!$J$54)),1,0)+IF(AND('班次明細'!$L$61&gt;0,$B163&gt;='班次明細'!$G$61,$C163&lt;='班次明細'!$H$61,OR('班次明細'!$K$61=0,$C163&lt;='班次明細'!$I$61,$B163&gt;='班次明細'!$J$61)),1,0)+IF(AND('班次明細'!$L$68&gt;0,$B163&gt;='班次明細'!$G$68,$C163&lt;='班次明細'!$H$68,OR('班次明細'!$K$68=0,$C163&lt;='班次明細'!$I$68,$B163&gt;='班次明細'!$J$68)),1,0)+IF(AND('班次明細'!$L$75&gt;0,$B163&gt;='班次明細'!$G$75,$C163&lt;='班次明細'!$H$75,OR('班次明細'!$K$75=0,$C163&lt;='班次明細'!$I$75,$B163&gt;='班次明細'!$J$75)),1,0)+IF(AND('班次明細'!$L$82&gt;0,$B163&gt;='班次明細'!$G$82,$C163&lt;='班次明細'!$H$82,OR('班次明細'!$K$82=0,$C163&lt;='班次明細'!$I$82,$B163&gt;='班次明細'!$J$82)),1,0)</x:f>
        <x:v>4</x:v>
      </x:c>
      <x:c r="H163" s="2" t="n">
        <x:f>MAX(0,E163-G163)</x:f>
        <x:v>0</x:v>
      </x:c>
      <x:c r="I163" s="2" t="n">
        <x:f>IF(F163="",0,MAX(0,G163-F163))</x:f>
        <x:v>0</x:v>
      </x:c>
      <x:c r="J163" s="2" t="n">
        <x:v>0</x:v>
      </x:c>
      <x:c r="K163" s="11" t="str"/>
      <x:c r="L163" s="11" t="str">
        <x:f>IF(OR(H163&gt;0,J163&gt;0),"營運參考／主管現場協調",IF(I163&gt;0,"營運參考／主管現場協調","本段人力足夠"))</x:f>
        <x:v>本段人力足夠</x:v>
      </x:c>
    </x:row>
    <x:row r="164" ht="42" customHeight="1">
      <x:c r="A164" s="12" t="n">
        <x:v>46285</x:v>
      </x:c>
      <x:c r="B164" s="13" t="n">
        <x:v>0.7083333333333334</x:v>
      </x:c>
      <x:c r="C164" s="13" t="n">
        <x:v>0.7291666666666666</x:v>
      </x:c>
      <x:c r="D164" s="2" t="str">
        <x:v>假日晚峰</x:v>
      </x:c>
      <x:c r="E164" s="2" t="n">
        <x:v>7</x:v>
      </x:c>
      <x:c r="F164" s="2" t="n">
        <x:v>7</x:v>
      </x:c>
      <x:c r="G164" s="2" t="n">
        <x:f>IF(AND('班次明細'!$L$12&gt;0,$B164&gt;='班次明細'!$G$12,$C164&lt;='班次明細'!$H$12,OR('班次明細'!$K$12=0,$C164&lt;='班次明細'!$I$12,$B164&gt;='班次明細'!$J$12)),1,0)+IF(AND('班次明細'!$L$19&gt;0,$B164&gt;='班次明細'!$G$19,$C164&lt;='班次明細'!$H$19,OR('班次明細'!$K$19=0,$C164&lt;='班次明細'!$I$19,$B164&gt;='班次明細'!$J$19)),1,0)+IF(AND('班次明細'!$L$26&gt;0,$B164&gt;='班次明細'!$G$26,$C164&lt;='班次明細'!$H$26,OR('班次明細'!$K$26=0,$C164&lt;='班次明細'!$I$26,$B164&gt;='班次明細'!$J$26)),1,0)+IF(AND('班次明細'!$L$33&gt;0,$B164&gt;='班次明細'!$G$33,$C164&lt;='班次明細'!$H$33,OR('班次明細'!$K$33=0,$C164&lt;='班次明細'!$I$33,$B164&gt;='班次明細'!$J$33)),1,0)+IF(AND('班次明細'!$L$40&gt;0,$B164&gt;='班次明細'!$G$40,$C164&lt;='班次明細'!$H$40,OR('班次明細'!$K$40=0,$C164&lt;='班次明細'!$I$40,$B164&gt;='班次明細'!$J$40)),1,0)+IF(AND('班次明細'!$L$47&gt;0,$B164&gt;='班次明細'!$G$47,$C164&lt;='班次明細'!$H$47,OR('班次明細'!$K$47=0,$C164&lt;='班次明細'!$I$47,$B164&gt;='班次明細'!$J$47)),1,0)+IF(AND('班次明細'!$L$54&gt;0,$B164&gt;='班次明細'!$G$54,$C164&lt;='班次明細'!$H$54,OR('班次明細'!$K$54=0,$C164&lt;='班次明細'!$I$54,$B164&gt;='班次明細'!$J$54)),1,0)+IF(AND('班次明細'!$L$61&gt;0,$B164&gt;='班次明細'!$G$61,$C164&lt;='班次明細'!$H$61,OR('班次明細'!$K$61=0,$C164&lt;='班次明細'!$I$61,$B164&gt;='班次明細'!$J$61)),1,0)+IF(AND('班次明細'!$L$68&gt;0,$B164&gt;='班次明細'!$G$68,$C164&lt;='班次明細'!$H$68,OR('班次明細'!$K$68=0,$C164&lt;='班次明細'!$I$68,$B164&gt;='班次明細'!$J$68)),1,0)+IF(AND('班次明細'!$L$75&gt;0,$B164&gt;='班次明細'!$G$75,$C164&lt;='班次明細'!$H$75,OR('班次明細'!$K$75=0,$C164&lt;='班次明細'!$I$75,$B164&gt;='班次明細'!$J$75)),1,0)+IF(AND('班次明細'!$L$82&gt;0,$B164&gt;='班次明細'!$G$82,$C164&lt;='班次明細'!$H$82,OR('班次明細'!$K$82=0,$C164&lt;='班次明細'!$I$82,$B164&gt;='班次明細'!$J$82)),1,0)</x:f>
        <x:v>5</x:v>
      </x:c>
      <x:c r="H164" s="2" t="n">
        <x:f>MAX(0,E164-G164)</x:f>
        <x:v>2</x:v>
      </x:c>
      <x:c r="I164" s="2" t="n">
        <x:f>IF(F164="",0,MAX(0,G164-F164))</x:f>
        <x:v>0</x:v>
      </x:c>
      <x:c r="J164" s="2" t="n">
        <x:v>2</x:v>
      </x:c>
      <x:c r="K164" s="11" t="str">
        <x:v>拍區、炸區</x:v>
      </x:c>
      <x:c r="L164" s="11" t="str">
        <x:f>IF(OR(H164&gt;0,J164&gt;0),"營運參考／主管現場協調",IF(I164&gt;0,"營運參考／主管現場協調","本段人力足夠"))</x:f>
        <x:v>營運參考／主管現場協調</x:v>
      </x:c>
    </x:row>
    <x:row r="165" ht="42" customHeight="1">
      <x:c r="A165" s="12" t="n">
        <x:v>46285</x:v>
      </x:c>
      <x:c r="B165" s="13" t="n">
        <x:v>0.7291666666666666</x:v>
      </x:c>
      <x:c r="C165" s="13" t="n">
        <x:v>0.75</x:v>
      </x:c>
      <x:c r="D165" s="2" t="str">
        <x:v>假日晚峰</x:v>
      </x:c>
      <x:c r="E165" s="2" t="n">
        <x:v>7</x:v>
      </x:c>
      <x:c r="F165" s="2" t="n">
        <x:v>7</x:v>
      </x:c>
      <x:c r="G165" s="2" t="n">
        <x:f>IF(AND('班次明細'!$L$12&gt;0,$B165&gt;='班次明細'!$G$12,$C165&lt;='班次明細'!$H$12,OR('班次明細'!$K$12=0,$C165&lt;='班次明細'!$I$12,$B165&gt;='班次明細'!$J$12)),1,0)+IF(AND('班次明細'!$L$19&gt;0,$B165&gt;='班次明細'!$G$19,$C165&lt;='班次明細'!$H$19,OR('班次明細'!$K$19=0,$C165&lt;='班次明細'!$I$19,$B165&gt;='班次明細'!$J$19)),1,0)+IF(AND('班次明細'!$L$26&gt;0,$B165&gt;='班次明細'!$G$26,$C165&lt;='班次明細'!$H$26,OR('班次明細'!$K$26=0,$C165&lt;='班次明細'!$I$26,$B165&gt;='班次明細'!$J$26)),1,0)+IF(AND('班次明細'!$L$33&gt;0,$B165&gt;='班次明細'!$G$33,$C165&lt;='班次明細'!$H$33,OR('班次明細'!$K$33=0,$C165&lt;='班次明細'!$I$33,$B165&gt;='班次明細'!$J$33)),1,0)+IF(AND('班次明細'!$L$40&gt;0,$B165&gt;='班次明細'!$G$40,$C165&lt;='班次明細'!$H$40,OR('班次明細'!$K$40=0,$C165&lt;='班次明細'!$I$40,$B165&gt;='班次明細'!$J$40)),1,0)+IF(AND('班次明細'!$L$47&gt;0,$B165&gt;='班次明細'!$G$47,$C165&lt;='班次明細'!$H$47,OR('班次明細'!$K$47=0,$C165&lt;='班次明細'!$I$47,$B165&gt;='班次明細'!$J$47)),1,0)+IF(AND('班次明細'!$L$54&gt;0,$B165&gt;='班次明細'!$G$54,$C165&lt;='班次明細'!$H$54,OR('班次明細'!$K$54=0,$C165&lt;='班次明細'!$I$54,$B165&gt;='班次明細'!$J$54)),1,0)+IF(AND('班次明細'!$L$61&gt;0,$B165&gt;='班次明細'!$G$61,$C165&lt;='班次明細'!$H$61,OR('班次明細'!$K$61=0,$C165&lt;='班次明細'!$I$61,$B165&gt;='班次明細'!$J$61)),1,0)+IF(AND('班次明細'!$L$68&gt;0,$B165&gt;='班次明細'!$G$68,$C165&lt;='班次明細'!$H$68,OR('班次明細'!$K$68=0,$C165&lt;='班次明細'!$I$68,$B165&gt;='班次明細'!$J$68)),1,0)+IF(AND('班次明細'!$L$75&gt;0,$B165&gt;='班次明細'!$G$75,$C165&lt;='班次明細'!$H$75,OR('班次明細'!$K$75=0,$C165&lt;='班次明細'!$I$75,$B165&gt;='班次明細'!$J$75)),1,0)+IF(AND('班次明細'!$L$82&gt;0,$B165&gt;='班次明細'!$G$82,$C165&lt;='班次明細'!$H$82,OR('班次明細'!$K$82=0,$C165&lt;='班次明細'!$I$82,$B165&gt;='班次明細'!$J$82)),1,0)</x:f>
        <x:v>6</x:v>
      </x:c>
      <x:c r="H165" s="2" t="n">
        <x:f>MAX(0,E165-G165)</x:f>
        <x:v>1</x:v>
      </x:c>
      <x:c r="I165" s="2" t="n">
        <x:f>IF(F165="",0,MAX(0,G165-F165))</x:f>
        <x:v>0</x:v>
      </x:c>
      <x:c r="J165" s="2" t="n">
        <x:v>1</x:v>
      </x:c>
      <x:c r="K165" s="11" t="str">
        <x:v>炸區</x:v>
      </x:c>
      <x:c r="L165" s="11" t="str">
        <x:f>IF(OR(H165&gt;0,J165&gt;0),"營運參考／主管現場協調",IF(I165&gt;0,"營運參考／主管現場協調","本段人力足夠"))</x:f>
        <x:v>營運參考／主管現場協調</x:v>
      </x:c>
    </x:row>
    <x:row r="166" ht="42" customHeight="1">
      <x:c r="A166" s="12" t="n">
        <x:v>46285</x:v>
      </x:c>
      <x:c r="B166" s="13" t="n">
        <x:v>0.75</x:v>
      </x:c>
      <x:c r="C166" s="13" t="n">
        <x:v>0.7708333333333334</x:v>
      </x:c>
      <x:c r="D166" s="2" t="str">
        <x:v>假日晚峰</x:v>
      </x:c>
      <x:c r="E166" s="2" t="n">
        <x:v>7</x:v>
      </x:c>
      <x:c r="F166" s="2" t="n">
        <x:v>7</x:v>
      </x:c>
      <x:c r="G166" s="2" t="n">
        <x:f>IF(AND('班次明細'!$L$12&gt;0,$B166&gt;='班次明細'!$G$12,$C166&lt;='班次明細'!$H$12,OR('班次明細'!$K$12=0,$C166&lt;='班次明細'!$I$12,$B166&gt;='班次明細'!$J$12)),1,0)+IF(AND('班次明細'!$L$19&gt;0,$B166&gt;='班次明細'!$G$19,$C166&lt;='班次明細'!$H$19,OR('班次明細'!$K$19=0,$C166&lt;='班次明細'!$I$19,$B166&gt;='班次明細'!$J$19)),1,0)+IF(AND('班次明細'!$L$26&gt;0,$B166&gt;='班次明細'!$G$26,$C166&lt;='班次明細'!$H$26,OR('班次明細'!$K$26=0,$C166&lt;='班次明細'!$I$26,$B166&gt;='班次明細'!$J$26)),1,0)+IF(AND('班次明細'!$L$33&gt;0,$B166&gt;='班次明細'!$G$33,$C166&lt;='班次明細'!$H$33,OR('班次明細'!$K$33=0,$C166&lt;='班次明細'!$I$33,$B166&gt;='班次明細'!$J$33)),1,0)+IF(AND('班次明細'!$L$40&gt;0,$B166&gt;='班次明細'!$G$40,$C166&lt;='班次明細'!$H$40,OR('班次明細'!$K$40=0,$C166&lt;='班次明細'!$I$40,$B166&gt;='班次明細'!$J$40)),1,0)+IF(AND('班次明細'!$L$47&gt;0,$B166&gt;='班次明細'!$G$47,$C166&lt;='班次明細'!$H$47,OR('班次明細'!$K$47=0,$C166&lt;='班次明細'!$I$47,$B166&gt;='班次明細'!$J$47)),1,0)+IF(AND('班次明細'!$L$54&gt;0,$B166&gt;='班次明細'!$G$54,$C166&lt;='班次明細'!$H$54,OR('班次明細'!$K$54=0,$C166&lt;='班次明細'!$I$54,$B166&gt;='班次明細'!$J$54)),1,0)+IF(AND('班次明細'!$L$61&gt;0,$B166&gt;='班次明細'!$G$61,$C166&lt;='班次明細'!$H$61,OR('班次明細'!$K$61=0,$C166&lt;='班次明細'!$I$61,$B166&gt;='班次明細'!$J$61)),1,0)+IF(AND('班次明細'!$L$68&gt;0,$B166&gt;='班次明細'!$G$68,$C166&lt;='班次明細'!$H$68,OR('班次明細'!$K$68=0,$C166&lt;='班次明細'!$I$68,$B166&gt;='班次明細'!$J$68)),1,0)+IF(AND('班次明細'!$L$75&gt;0,$B166&gt;='班次明細'!$G$75,$C166&lt;='班次明細'!$H$75,OR('班次明細'!$K$75=0,$C166&lt;='班次明細'!$I$75,$B166&gt;='班次明細'!$J$75)),1,0)+IF(AND('班次明細'!$L$82&gt;0,$B166&gt;='班次明細'!$G$82,$C166&lt;='班次明細'!$H$82,OR('班次明細'!$K$82=0,$C166&lt;='班次明細'!$I$82,$B166&gt;='班次明細'!$J$82)),1,0)</x:f>
        <x:v>6</x:v>
      </x:c>
      <x:c r="H166" s="2" t="n">
        <x:f>MAX(0,E166-G166)</x:f>
        <x:v>1</x:v>
      </x:c>
      <x:c r="I166" s="2" t="n">
        <x:f>IF(F166="",0,MAX(0,G166-F166))</x:f>
        <x:v>0</x:v>
      </x:c>
      <x:c r="J166" s="2" t="n">
        <x:v>1</x:v>
      </x:c>
      <x:c r="K166" s="11" t="str">
        <x:v>炸區</x:v>
      </x:c>
      <x:c r="L166" s="11" t="str">
        <x:f>IF(OR(H166&gt;0,J166&gt;0),"營運參考／主管現場協調",IF(I166&gt;0,"營運參考／主管現場協調","本段人力足夠"))</x:f>
        <x:v>營運參考／主管現場協調</x:v>
      </x:c>
    </x:row>
    <x:row r="167" ht="42" customHeight="1">
      <x:c r="A167" s="12" t="n">
        <x:v>46285</x:v>
      </x:c>
      <x:c r="B167" s="13" t="n">
        <x:v>0.7708333333333334</x:v>
      </x:c>
      <x:c r="C167" s="13" t="n">
        <x:v>0.7916666666666666</x:v>
      </x:c>
      <x:c r="D167" s="2" t="str">
        <x:v>假日晚峰</x:v>
      </x:c>
      <x:c r="E167" s="2" t="n">
        <x:v>7</x:v>
      </x:c>
      <x:c r="F167" s="2" t="n">
        <x:v>7</x:v>
      </x:c>
      <x:c r="G167" s="2" t="n">
        <x:f>IF(AND('班次明細'!$L$12&gt;0,$B167&gt;='班次明細'!$G$12,$C167&lt;='班次明細'!$H$12,OR('班次明細'!$K$12=0,$C167&lt;='班次明細'!$I$12,$B167&gt;='班次明細'!$J$12)),1,0)+IF(AND('班次明細'!$L$19&gt;0,$B167&gt;='班次明細'!$G$19,$C167&lt;='班次明細'!$H$19,OR('班次明細'!$K$19=0,$C167&lt;='班次明細'!$I$19,$B167&gt;='班次明細'!$J$19)),1,0)+IF(AND('班次明細'!$L$26&gt;0,$B167&gt;='班次明細'!$G$26,$C167&lt;='班次明細'!$H$26,OR('班次明細'!$K$26=0,$C167&lt;='班次明細'!$I$26,$B167&gt;='班次明細'!$J$26)),1,0)+IF(AND('班次明細'!$L$33&gt;0,$B167&gt;='班次明細'!$G$33,$C167&lt;='班次明細'!$H$33,OR('班次明細'!$K$33=0,$C167&lt;='班次明細'!$I$33,$B167&gt;='班次明細'!$J$33)),1,0)+IF(AND('班次明細'!$L$40&gt;0,$B167&gt;='班次明細'!$G$40,$C167&lt;='班次明細'!$H$40,OR('班次明細'!$K$40=0,$C167&lt;='班次明細'!$I$40,$B167&gt;='班次明細'!$J$40)),1,0)+IF(AND('班次明細'!$L$47&gt;0,$B167&gt;='班次明細'!$G$47,$C167&lt;='班次明細'!$H$47,OR('班次明細'!$K$47=0,$C167&lt;='班次明細'!$I$47,$B167&gt;='班次明細'!$J$47)),1,0)+IF(AND('班次明細'!$L$54&gt;0,$B167&gt;='班次明細'!$G$54,$C167&lt;='班次明細'!$H$54,OR('班次明細'!$K$54=0,$C167&lt;='班次明細'!$I$54,$B167&gt;='班次明細'!$J$54)),1,0)+IF(AND('班次明細'!$L$61&gt;0,$B167&gt;='班次明細'!$G$61,$C167&lt;='班次明細'!$H$61,OR('班次明細'!$K$61=0,$C167&lt;='班次明細'!$I$61,$B167&gt;='班次明細'!$J$61)),1,0)+IF(AND('班次明細'!$L$68&gt;0,$B167&gt;='班次明細'!$G$68,$C167&lt;='班次明細'!$H$68,OR('班次明細'!$K$68=0,$C167&lt;='班次明細'!$I$68,$B167&gt;='班次明細'!$J$68)),1,0)+IF(AND('班次明細'!$L$75&gt;0,$B167&gt;='班次明細'!$G$75,$C167&lt;='班次明細'!$H$75,OR('班次明細'!$K$75=0,$C167&lt;='班次明細'!$I$75,$B167&gt;='班次明細'!$J$75)),1,0)+IF(AND('班次明細'!$L$82&gt;0,$B167&gt;='班次明細'!$G$82,$C167&lt;='班次明細'!$H$82,OR('班次明細'!$K$82=0,$C167&lt;='班次明細'!$I$82,$B167&gt;='班次明細'!$J$82)),1,0)</x:f>
        <x:v>6</x:v>
      </x:c>
      <x:c r="H167" s="2" t="n">
        <x:f>MAX(0,E167-G167)</x:f>
        <x:v>1</x:v>
      </x:c>
      <x:c r="I167" s="2" t="n">
        <x:f>IF(F167="",0,MAX(0,G167-F167))</x:f>
        <x:v>0</x:v>
      </x:c>
      <x:c r="J167" s="2" t="n">
        <x:v>1</x:v>
      </x:c>
      <x:c r="K167" s="11" t="str">
        <x:v>炸區</x:v>
      </x:c>
      <x:c r="L167" s="11" t="str">
        <x:f>IF(OR(H167&gt;0,J167&gt;0),"營運參考／主管現場協調",IF(I167&gt;0,"營運參考／主管現場協調","本段人力足夠"))</x:f>
        <x:v>營運參考／主管現場協調</x:v>
      </x:c>
    </x:row>
    <x:row r="168" ht="42" customHeight="1">
      <x:c r="A168" s="12" t="n">
        <x:v>46285</x:v>
      </x:c>
      <x:c r="B168" s="13" t="n">
        <x:v>0.7916666666666666</x:v>
      </x:c>
      <x:c r="C168" s="13" t="n">
        <x:v>0.8125</x:v>
      </x:c>
      <x:c r="D168" s="2" t="str">
        <x:v>假日晚峰</x:v>
      </x:c>
      <x:c r="E168" s="2" t="n">
        <x:v>7</x:v>
      </x:c>
      <x:c r="F168" s="2" t="n">
        <x:v>7</x:v>
      </x:c>
      <x:c r="G168" s="2" t="n">
        <x:f>IF(AND('班次明細'!$L$12&gt;0,$B168&gt;='班次明細'!$G$12,$C168&lt;='班次明細'!$H$12,OR('班次明細'!$K$12=0,$C168&lt;='班次明細'!$I$12,$B168&gt;='班次明細'!$J$12)),1,0)+IF(AND('班次明細'!$L$19&gt;0,$B168&gt;='班次明細'!$G$19,$C168&lt;='班次明細'!$H$19,OR('班次明細'!$K$19=0,$C168&lt;='班次明細'!$I$19,$B168&gt;='班次明細'!$J$19)),1,0)+IF(AND('班次明細'!$L$26&gt;0,$B168&gt;='班次明細'!$G$26,$C168&lt;='班次明細'!$H$26,OR('班次明細'!$K$26=0,$C168&lt;='班次明細'!$I$26,$B168&gt;='班次明細'!$J$26)),1,0)+IF(AND('班次明細'!$L$33&gt;0,$B168&gt;='班次明細'!$G$33,$C168&lt;='班次明細'!$H$33,OR('班次明細'!$K$33=0,$C168&lt;='班次明細'!$I$33,$B168&gt;='班次明細'!$J$33)),1,0)+IF(AND('班次明細'!$L$40&gt;0,$B168&gt;='班次明細'!$G$40,$C168&lt;='班次明細'!$H$40,OR('班次明細'!$K$40=0,$C168&lt;='班次明細'!$I$40,$B168&gt;='班次明細'!$J$40)),1,0)+IF(AND('班次明細'!$L$47&gt;0,$B168&gt;='班次明細'!$G$47,$C168&lt;='班次明細'!$H$47,OR('班次明細'!$K$47=0,$C168&lt;='班次明細'!$I$47,$B168&gt;='班次明細'!$J$47)),1,0)+IF(AND('班次明細'!$L$54&gt;0,$B168&gt;='班次明細'!$G$54,$C168&lt;='班次明細'!$H$54,OR('班次明細'!$K$54=0,$C168&lt;='班次明細'!$I$54,$B168&gt;='班次明細'!$J$54)),1,0)+IF(AND('班次明細'!$L$61&gt;0,$B168&gt;='班次明細'!$G$61,$C168&lt;='班次明細'!$H$61,OR('班次明細'!$K$61=0,$C168&lt;='班次明細'!$I$61,$B168&gt;='班次明細'!$J$61)),1,0)+IF(AND('班次明細'!$L$68&gt;0,$B168&gt;='班次明細'!$G$68,$C168&lt;='班次明細'!$H$68,OR('班次明細'!$K$68=0,$C168&lt;='班次明細'!$I$68,$B168&gt;='班次明細'!$J$68)),1,0)+IF(AND('班次明細'!$L$75&gt;0,$B168&gt;='班次明細'!$G$75,$C168&lt;='班次明細'!$H$75,OR('班次明細'!$K$75=0,$C168&lt;='班次明細'!$I$75,$B168&gt;='班次明細'!$J$75)),1,0)+IF(AND('班次明細'!$L$82&gt;0,$B168&gt;='班次明細'!$G$82,$C168&lt;='班次明細'!$H$82,OR('班次明細'!$K$82=0,$C168&lt;='班次明細'!$I$82,$B168&gt;='班次明細'!$J$82)),1,0)</x:f>
        <x:v>6</x:v>
      </x:c>
      <x:c r="H168" s="2" t="n">
        <x:f>MAX(0,E168-G168)</x:f>
        <x:v>1</x:v>
      </x:c>
      <x:c r="I168" s="2" t="n">
        <x:f>IF(F168="",0,MAX(0,G168-F168))</x:f>
        <x:v>0</x:v>
      </x:c>
      <x:c r="J168" s="2" t="n">
        <x:v>1</x:v>
      </x:c>
      <x:c r="K168" s="11" t="str">
        <x:v>炸區</x:v>
      </x:c>
      <x:c r="L168" s="11" t="str">
        <x:f>IF(OR(H168&gt;0,J168&gt;0),"營運參考／主管現場協調",IF(I168&gt;0,"營運參考／主管現場協調","本段人力足夠"))</x:f>
        <x:v>營運參考／主管現場協調</x:v>
      </x:c>
    </x:row>
    <x:row r="169" ht="42" customHeight="1">
      <x:c r="A169" s="12" t="n">
        <x:v>46285</x:v>
      </x:c>
      <x:c r="B169" s="13" t="n">
        <x:v>0.8125</x:v>
      </x:c>
      <x:c r="C169" s="13" t="n">
        <x:v>0.8333333333333334</x:v>
      </x:c>
      <x:c r="D169" s="2" t="str">
        <x:v>假日晚峰</x:v>
      </x:c>
      <x:c r="E169" s="2" t="n">
        <x:v>7</x:v>
      </x:c>
      <x:c r="F169" s="2" t="n">
        <x:v>7</x:v>
      </x:c>
      <x:c r="G169" s="2" t="n">
        <x:f>IF(AND('班次明細'!$L$12&gt;0,$B169&gt;='班次明細'!$G$12,$C169&lt;='班次明細'!$H$12,OR('班次明細'!$K$12=0,$C169&lt;='班次明細'!$I$12,$B169&gt;='班次明細'!$J$12)),1,0)+IF(AND('班次明細'!$L$19&gt;0,$B169&gt;='班次明細'!$G$19,$C169&lt;='班次明細'!$H$19,OR('班次明細'!$K$19=0,$C169&lt;='班次明細'!$I$19,$B169&gt;='班次明細'!$J$19)),1,0)+IF(AND('班次明細'!$L$26&gt;0,$B169&gt;='班次明細'!$G$26,$C169&lt;='班次明細'!$H$26,OR('班次明細'!$K$26=0,$C169&lt;='班次明細'!$I$26,$B169&gt;='班次明細'!$J$26)),1,0)+IF(AND('班次明細'!$L$33&gt;0,$B169&gt;='班次明細'!$G$33,$C169&lt;='班次明細'!$H$33,OR('班次明細'!$K$33=0,$C169&lt;='班次明細'!$I$33,$B169&gt;='班次明細'!$J$33)),1,0)+IF(AND('班次明細'!$L$40&gt;0,$B169&gt;='班次明細'!$G$40,$C169&lt;='班次明細'!$H$40,OR('班次明細'!$K$40=0,$C169&lt;='班次明細'!$I$40,$B169&gt;='班次明細'!$J$40)),1,0)+IF(AND('班次明細'!$L$47&gt;0,$B169&gt;='班次明細'!$G$47,$C169&lt;='班次明細'!$H$47,OR('班次明細'!$K$47=0,$C169&lt;='班次明細'!$I$47,$B169&gt;='班次明細'!$J$47)),1,0)+IF(AND('班次明細'!$L$54&gt;0,$B169&gt;='班次明細'!$G$54,$C169&lt;='班次明細'!$H$54,OR('班次明細'!$K$54=0,$C169&lt;='班次明細'!$I$54,$B169&gt;='班次明細'!$J$54)),1,0)+IF(AND('班次明細'!$L$61&gt;0,$B169&gt;='班次明細'!$G$61,$C169&lt;='班次明細'!$H$61,OR('班次明細'!$K$61=0,$C169&lt;='班次明細'!$I$61,$B169&gt;='班次明細'!$J$61)),1,0)+IF(AND('班次明細'!$L$68&gt;0,$B169&gt;='班次明細'!$G$68,$C169&lt;='班次明細'!$H$68,OR('班次明細'!$K$68=0,$C169&lt;='班次明細'!$I$68,$B169&gt;='班次明細'!$J$68)),1,0)+IF(AND('班次明細'!$L$75&gt;0,$B169&gt;='班次明細'!$G$75,$C169&lt;='班次明細'!$H$75,OR('班次明細'!$K$75=0,$C169&lt;='班次明細'!$I$75,$B169&gt;='班次明細'!$J$75)),1,0)+IF(AND('班次明細'!$L$82&gt;0,$B169&gt;='班次明細'!$G$82,$C169&lt;='班次明細'!$H$82,OR('班次明細'!$K$82=0,$C169&lt;='班次明細'!$I$82,$B169&gt;='班次明細'!$J$82)),1,0)</x:f>
        <x:v>6</x:v>
      </x:c>
      <x:c r="H169" s="2" t="n">
        <x:f>MAX(0,E169-G169)</x:f>
        <x:v>1</x:v>
      </x:c>
      <x:c r="I169" s="2" t="n">
        <x:f>IF(F169="",0,MAX(0,G169-F169))</x:f>
        <x:v>0</x:v>
      </x:c>
      <x:c r="J169" s="2" t="n">
        <x:v>1</x:v>
      </x:c>
      <x:c r="K169" s="11" t="str">
        <x:v>炸區</x:v>
      </x:c>
      <x:c r="L169" s="11" t="str">
        <x:f>IF(OR(H169&gt;0,J169&gt;0),"營運參考／主管現場協調",IF(I169&gt;0,"營運參考／主管現場協調","本段人力足夠"))</x:f>
        <x:v>營運參考／主管現場協調</x:v>
      </x:c>
    </x:row>
    <x:row r="170" ht="42" customHeight="1">
      <x:c r="A170" s="12" t="n">
        <x:v>46285</x:v>
      </x:c>
      <x:c r="B170" s="13" t="n">
        <x:v>0.8333333333333334</x:v>
      </x:c>
      <x:c r="C170" s="13" t="n">
        <x:v>0.8541666666666666</x:v>
      </x:c>
      <x:c r="D170" s="2" t="str">
        <x:v>假日收店20</x:v>
      </x:c>
      <x:c r="E170" s="2" t="n">
        <x:v>6</x:v>
      </x:c>
      <x:c r="F170" s="2"/>
      <x:c r="G170" s="2" t="n">
        <x:f>IF(AND('班次明細'!$L$12&gt;0,$B170&gt;='班次明細'!$G$12,$C170&lt;='班次明細'!$H$12,OR('班次明細'!$K$12=0,$C170&lt;='班次明細'!$I$12,$B170&gt;='班次明細'!$J$12)),1,0)+IF(AND('班次明細'!$L$19&gt;0,$B170&gt;='班次明細'!$G$19,$C170&lt;='班次明細'!$H$19,OR('班次明細'!$K$19=0,$C170&lt;='班次明細'!$I$19,$B170&gt;='班次明細'!$J$19)),1,0)+IF(AND('班次明細'!$L$26&gt;0,$B170&gt;='班次明細'!$G$26,$C170&lt;='班次明細'!$H$26,OR('班次明細'!$K$26=0,$C170&lt;='班次明細'!$I$26,$B170&gt;='班次明細'!$J$26)),1,0)+IF(AND('班次明細'!$L$33&gt;0,$B170&gt;='班次明細'!$G$33,$C170&lt;='班次明細'!$H$33,OR('班次明細'!$K$33=0,$C170&lt;='班次明細'!$I$33,$B170&gt;='班次明細'!$J$33)),1,0)+IF(AND('班次明細'!$L$40&gt;0,$B170&gt;='班次明細'!$G$40,$C170&lt;='班次明細'!$H$40,OR('班次明細'!$K$40=0,$C170&lt;='班次明細'!$I$40,$B170&gt;='班次明細'!$J$40)),1,0)+IF(AND('班次明細'!$L$47&gt;0,$B170&gt;='班次明細'!$G$47,$C170&lt;='班次明細'!$H$47,OR('班次明細'!$K$47=0,$C170&lt;='班次明細'!$I$47,$B170&gt;='班次明細'!$J$47)),1,0)+IF(AND('班次明細'!$L$54&gt;0,$B170&gt;='班次明細'!$G$54,$C170&lt;='班次明細'!$H$54,OR('班次明細'!$K$54=0,$C170&lt;='班次明細'!$I$54,$B170&gt;='班次明細'!$J$54)),1,0)+IF(AND('班次明細'!$L$61&gt;0,$B170&gt;='班次明細'!$G$61,$C170&lt;='班次明細'!$H$61,OR('班次明細'!$K$61=0,$C170&lt;='班次明細'!$I$61,$B170&gt;='班次明細'!$J$61)),1,0)+IF(AND('班次明細'!$L$68&gt;0,$B170&gt;='班次明細'!$G$68,$C170&lt;='班次明細'!$H$68,OR('班次明細'!$K$68=0,$C170&lt;='班次明細'!$I$68,$B170&gt;='班次明細'!$J$68)),1,0)+IF(AND('班次明細'!$L$75&gt;0,$B170&gt;='班次明細'!$G$75,$C170&lt;='班次明細'!$H$75,OR('班次明細'!$K$75=0,$C170&lt;='班次明細'!$I$75,$B170&gt;='班次明細'!$J$75)),1,0)+IF(AND('班次明細'!$L$82&gt;0,$B170&gt;='班次明細'!$G$82,$C170&lt;='班次明細'!$H$82,OR('班次明細'!$K$82=0,$C170&lt;='班次明細'!$I$82,$B170&gt;='班次明細'!$J$82)),1,0)</x:f>
        <x:v>5</x:v>
      </x:c>
      <x:c r="H170" s="2" t="n">
        <x:f>MAX(0,E170-G170)</x:f>
        <x:v>1</x:v>
      </x:c>
      <x:c r="I170" s="2" t="n">
        <x:f>IF(F170="",0,MAX(0,G170-F170))</x:f>
        <x:v>0</x:v>
      </x:c>
      <x:c r="J170" s="2" t="n">
        <x:v>1</x:v>
      </x:c>
      <x:c r="K170" s="11" t="str"/>
      <x:c r="L170" s="11" t="str">
        <x:f>IF(OR(H170&gt;0,J170&gt;0),"營運參考／主管現場協調；收店交接參考",IF(I170&gt;0,"營運參考／主管現場協調","人數足；收店交接參考"))</x:f>
        <x:v>營運參考／主管現場協調；收店交接參考</x:v>
      </x:c>
    </x:row>
    <x:row r="171" ht="42" customHeight="1">
      <x:c r="A171" s="12" t="n">
        <x:v>46285</x:v>
      </x:c>
      <x:c r="B171" s="13" t="n">
        <x:v>0.8541666666666666</x:v>
      </x:c>
      <x:c r="C171" s="13" t="n">
        <x:v>0.875</x:v>
      </x:c>
      <x:c r="D171" s="2" t="str">
        <x:v>假日收店20</x:v>
      </x:c>
      <x:c r="E171" s="2" t="n">
        <x:v>6</x:v>
      </x:c>
      <x:c r="F171" s="2"/>
      <x:c r="G171" s="2" t="n">
        <x:f>IF(AND('班次明細'!$L$12&gt;0,$B171&gt;='班次明細'!$G$12,$C171&lt;='班次明細'!$H$12,OR('班次明細'!$K$12=0,$C171&lt;='班次明細'!$I$12,$B171&gt;='班次明細'!$J$12)),1,0)+IF(AND('班次明細'!$L$19&gt;0,$B171&gt;='班次明細'!$G$19,$C171&lt;='班次明細'!$H$19,OR('班次明細'!$K$19=0,$C171&lt;='班次明細'!$I$19,$B171&gt;='班次明細'!$J$19)),1,0)+IF(AND('班次明細'!$L$26&gt;0,$B171&gt;='班次明細'!$G$26,$C171&lt;='班次明細'!$H$26,OR('班次明細'!$K$26=0,$C171&lt;='班次明細'!$I$26,$B171&gt;='班次明細'!$J$26)),1,0)+IF(AND('班次明細'!$L$33&gt;0,$B171&gt;='班次明細'!$G$33,$C171&lt;='班次明細'!$H$33,OR('班次明細'!$K$33=0,$C171&lt;='班次明細'!$I$33,$B171&gt;='班次明細'!$J$33)),1,0)+IF(AND('班次明細'!$L$40&gt;0,$B171&gt;='班次明細'!$G$40,$C171&lt;='班次明細'!$H$40,OR('班次明細'!$K$40=0,$C171&lt;='班次明細'!$I$40,$B171&gt;='班次明細'!$J$40)),1,0)+IF(AND('班次明細'!$L$47&gt;0,$B171&gt;='班次明細'!$G$47,$C171&lt;='班次明細'!$H$47,OR('班次明細'!$K$47=0,$C171&lt;='班次明細'!$I$47,$B171&gt;='班次明細'!$J$47)),1,0)+IF(AND('班次明細'!$L$54&gt;0,$B171&gt;='班次明細'!$G$54,$C171&lt;='班次明細'!$H$54,OR('班次明細'!$K$54=0,$C171&lt;='班次明細'!$I$54,$B171&gt;='班次明細'!$J$54)),1,0)+IF(AND('班次明細'!$L$61&gt;0,$B171&gt;='班次明細'!$G$61,$C171&lt;='班次明細'!$H$61,OR('班次明細'!$K$61=0,$C171&lt;='班次明細'!$I$61,$B171&gt;='班次明細'!$J$61)),1,0)+IF(AND('班次明細'!$L$68&gt;0,$B171&gt;='班次明細'!$G$68,$C171&lt;='班次明細'!$H$68,OR('班次明細'!$K$68=0,$C171&lt;='班次明細'!$I$68,$B171&gt;='班次明細'!$J$68)),1,0)+IF(AND('班次明細'!$L$75&gt;0,$B171&gt;='班次明細'!$G$75,$C171&lt;='班次明細'!$H$75,OR('班次明細'!$K$75=0,$C171&lt;='班次明細'!$I$75,$B171&gt;='班次明細'!$J$75)),1,0)+IF(AND('班次明細'!$L$82&gt;0,$B171&gt;='班次明細'!$G$82,$C171&lt;='班次明細'!$H$82,OR('班次明細'!$K$82=0,$C171&lt;='班次明細'!$I$82,$B171&gt;='班次明細'!$J$82)),1,0)</x:f>
        <x:v>5</x:v>
      </x:c>
      <x:c r="H171" s="2" t="n">
        <x:f>MAX(0,E171-G171)</x:f>
        <x:v>1</x:v>
      </x:c>
      <x:c r="I171" s="2" t="n">
        <x:f>IF(F171="",0,MAX(0,G171-F171))</x:f>
        <x:v>0</x:v>
      </x:c>
      <x:c r="J171" s="2" t="n">
        <x:v>1</x:v>
      </x:c>
      <x:c r="K171" s="11" t="str"/>
      <x:c r="L171" s="11" t="str">
        <x:f>IF(OR(H171&gt;0,J171&gt;0),"營運參考／主管現場協調；收店交接參考",IF(I171&gt;0,"營運參考／主管現場協調","人數足；收店交接參考"))</x:f>
        <x:v>營運參考／主管現場協調；收店交接參考</x:v>
      </x:c>
    </x:row>
    <x:row r="172" ht="42" customHeight="1">
      <x:c r="A172" s="12" t="n">
        <x:v>46285</x:v>
      </x:c>
      <x:c r="B172" s="13" t="n">
        <x:v>0.875</x:v>
      </x:c>
      <x:c r="C172" s="13" t="n">
        <x:v>0.8958333333333334</x:v>
      </x:c>
      <x:c r="D172" s="2" t="str">
        <x:v>假日收店21</x:v>
      </x:c>
      <x:c r="E172" s="2" t="n">
        <x:v>5</x:v>
      </x:c>
      <x:c r="F172" s="2"/>
      <x:c r="G172" s="2" t="n">
        <x:f>IF(AND('班次明細'!$L$12&gt;0,$B172&gt;='班次明細'!$G$12,$C172&lt;='班次明細'!$H$12,OR('班次明細'!$K$12=0,$C172&lt;='班次明細'!$I$12,$B172&gt;='班次明細'!$J$12)),1,0)+IF(AND('班次明細'!$L$19&gt;0,$B172&gt;='班次明細'!$G$19,$C172&lt;='班次明細'!$H$19,OR('班次明細'!$K$19=0,$C172&lt;='班次明細'!$I$19,$B172&gt;='班次明細'!$J$19)),1,0)+IF(AND('班次明細'!$L$26&gt;0,$B172&gt;='班次明細'!$G$26,$C172&lt;='班次明細'!$H$26,OR('班次明細'!$K$26=0,$C172&lt;='班次明細'!$I$26,$B172&gt;='班次明細'!$J$26)),1,0)+IF(AND('班次明細'!$L$33&gt;0,$B172&gt;='班次明細'!$G$33,$C172&lt;='班次明細'!$H$33,OR('班次明細'!$K$33=0,$C172&lt;='班次明細'!$I$33,$B172&gt;='班次明細'!$J$33)),1,0)+IF(AND('班次明細'!$L$40&gt;0,$B172&gt;='班次明細'!$G$40,$C172&lt;='班次明細'!$H$40,OR('班次明細'!$K$40=0,$C172&lt;='班次明細'!$I$40,$B172&gt;='班次明細'!$J$40)),1,0)+IF(AND('班次明細'!$L$47&gt;0,$B172&gt;='班次明細'!$G$47,$C172&lt;='班次明細'!$H$47,OR('班次明細'!$K$47=0,$C172&lt;='班次明細'!$I$47,$B172&gt;='班次明細'!$J$47)),1,0)+IF(AND('班次明細'!$L$54&gt;0,$B172&gt;='班次明細'!$G$54,$C172&lt;='班次明細'!$H$54,OR('班次明細'!$K$54=0,$C172&lt;='班次明細'!$I$54,$B172&gt;='班次明細'!$J$54)),1,0)+IF(AND('班次明細'!$L$61&gt;0,$B172&gt;='班次明細'!$G$61,$C172&lt;='班次明細'!$H$61,OR('班次明細'!$K$61=0,$C172&lt;='班次明細'!$I$61,$B172&gt;='班次明細'!$J$61)),1,0)+IF(AND('班次明細'!$L$68&gt;0,$B172&gt;='班次明細'!$G$68,$C172&lt;='班次明細'!$H$68,OR('班次明細'!$K$68=0,$C172&lt;='班次明細'!$I$68,$B172&gt;='班次明細'!$J$68)),1,0)+IF(AND('班次明細'!$L$75&gt;0,$B172&gt;='班次明細'!$G$75,$C172&lt;='班次明細'!$H$75,OR('班次明細'!$K$75=0,$C172&lt;='班次明細'!$I$75,$B172&gt;='班次明細'!$J$75)),1,0)+IF(AND('班次明細'!$L$82&gt;0,$B172&gt;='班次明細'!$G$82,$C172&lt;='班次明細'!$H$82,OR('班次明細'!$K$82=0,$C172&lt;='班次明細'!$I$82,$B172&gt;='班次明細'!$J$82)),1,0)</x:f>
        <x:v>4</x:v>
      </x:c>
      <x:c r="H172" s="2" t="n">
        <x:f>MAX(0,E172-G172)</x:f>
        <x:v>1</x:v>
      </x:c>
      <x:c r="I172" s="2" t="n">
        <x:f>IF(F172="",0,MAX(0,G172-F172))</x:f>
        <x:v>0</x:v>
      </x:c>
      <x:c r="J172" s="2" t="n">
        <x:v>1</x:v>
      </x:c>
      <x:c r="K172" s="11" t="str"/>
      <x:c r="L172" s="11" t="str">
        <x:f>IF(OR(H172&gt;0,J172&gt;0),"營運參考／主管現場協調；收店交接參考",IF(I172&gt;0,"營運參考／主管現場協調","人數足；收店交接參考"))</x:f>
        <x:v>營運參考／主管現場協調；收店交接參考</x:v>
      </x:c>
    </x:row>
    <x:row r="173" ht="42" customHeight="1">
      <x:c r="A173" s="12" t="n">
        <x:v>46285</x:v>
      </x:c>
      <x:c r="B173" s="13" t="n">
        <x:v>0.8958333333333334</x:v>
      </x:c>
      <x:c r="C173" s="13" t="n">
        <x:v>0.9166666666666666</x:v>
      </x:c>
      <x:c r="D173" s="2" t="str">
        <x:v>假日收店2130</x:v>
      </x:c>
      <x:c r="E173" s="2" t="n">
        <x:v>4</x:v>
      </x:c>
      <x:c r="F173" s="2"/>
      <x:c r="G173" s="2" t="n">
        <x:f>IF(AND('班次明細'!$L$12&gt;0,$B173&gt;='班次明細'!$G$12,$C173&lt;='班次明細'!$H$12,OR('班次明細'!$K$12=0,$C173&lt;='班次明細'!$I$12,$B173&gt;='班次明細'!$J$12)),1,0)+IF(AND('班次明細'!$L$19&gt;0,$B173&gt;='班次明細'!$G$19,$C173&lt;='班次明細'!$H$19,OR('班次明細'!$K$19=0,$C173&lt;='班次明細'!$I$19,$B173&gt;='班次明細'!$J$19)),1,0)+IF(AND('班次明細'!$L$26&gt;0,$B173&gt;='班次明細'!$G$26,$C173&lt;='班次明細'!$H$26,OR('班次明細'!$K$26=0,$C173&lt;='班次明細'!$I$26,$B173&gt;='班次明細'!$J$26)),1,0)+IF(AND('班次明細'!$L$33&gt;0,$B173&gt;='班次明細'!$G$33,$C173&lt;='班次明細'!$H$33,OR('班次明細'!$K$33=0,$C173&lt;='班次明細'!$I$33,$B173&gt;='班次明細'!$J$33)),1,0)+IF(AND('班次明細'!$L$40&gt;0,$B173&gt;='班次明細'!$G$40,$C173&lt;='班次明細'!$H$40,OR('班次明細'!$K$40=0,$C173&lt;='班次明細'!$I$40,$B173&gt;='班次明細'!$J$40)),1,0)+IF(AND('班次明細'!$L$47&gt;0,$B173&gt;='班次明細'!$G$47,$C173&lt;='班次明細'!$H$47,OR('班次明細'!$K$47=0,$C173&lt;='班次明細'!$I$47,$B173&gt;='班次明細'!$J$47)),1,0)+IF(AND('班次明細'!$L$54&gt;0,$B173&gt;='班次明細'!$G$54,$C173&lt;='班次明細'!$H$54,OR('班次明細'!$K$54=0,$C173&lt;='班次明細'!$I$54,$B173&gt;='班次明細'!$J$54)),1,0)+IF(AND('班次明細'!$L$61&gt;0,$B173&gt;='班次明細'!$G$61,$C173&lt;='班次明細'!$H$61,OR('班次明細'!$K$61=0,$C173&lt;='班次明細'!$I$61,$B173&gt;='班次明細'!$J$61)),1,0)+IF(AND('班次明細'!$L$68&gt;0,$B173&gt;='班次明細'!$G$68,$C173&lt;='班次明細'!$H$68,OR('班次明細'!$K$68=0,$C173&lt;='班次明細'!$I$68,$B173&gt;='班次明細'!$J$68)),1,0)+IF(AND('班次明細'!$L$75&gt;0,$B173&gt;='班次明細'!$G$75,$C173&lt;='班次明細'!$H$75,OR('班次明細'!$K$75=0,$C173&lt;='班次明細'!$I$75,$B173&gt;='班次明細'!$J$75)),1,0)+IF(AND('班次明細'!$L$82&gt;0,$B173&gt;='班次明細'!$G$82,$C173&lt;='班次明細'!$H$82,OR('班次明細'!$K$82=0,$C173&lt;='班次明細'!$I$82,$B173&gt;='班次明細'!$J$82)),1,0)</x:f>
        <x:v>1</x:v>
      </x:c>
      <x:c r="H173" s="2" t="n">
        <x:f>MAX(0,E173-G173)</x:f>
        <x:v>3</x:v>
      </x:c>
      <x:c r="I173" s="2" t="n">
        <x:f>IF(F173="",0,MAX(0,G173-F173))</x:f>
        <x:v>0</x:v>
      </x:c>
      <x:c r="J173" s="2" t="n">
        <x:v>3</x:v>
      </x:c>
      <x:c r="K173" s="11" t="str"/>
      <x:c r="L173" s="11" t="str">
        <x:f>IF(OR(H173&gt;0,J173&gt;0),"營運參考／主管現場協調；收店交接參考",IF(I173&gt;0,"營運參考／主管現場協調","人數足；收店交接參考"))</x:f>
        <x:v>營運參考／主管現場協調；收店交接參考</x:v>
      </x:c>
    </x:row>
  </x:sheetData>
  <x:mergeCells>
    <x:mergeCell ref="A1:L1"/>
    <x:mergeCell ref="A2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5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38" customHeight="1">
      <x:c r="A1" s="4" t="str">
        <x:v>工時與休假｜本週可算、四週待核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3" customHeight="1">
      <x:c r="A2" s="7" t="str">
        <x:v>主統計採 9/14～9/20。9/13 依上一版已確認班表接續檢查週日至週六；所有休假只標排班狀態，未認定例假／休息日。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8" customHeight="1">
      <x:c r="A5" s="10" t="str">
        <x:v>姓名</x:v>
      </x:c>
      <x:c r="B5" s="10" t="str">
        <x:v>身分</x:v>
      </x:c>
      <x:c r="C5" s="10" t="str">
        <x:v>週一至日工時</x:v>
      </x:c>
      <x:c r="D5" s="10" t="str">
        <x:v>工作天</x:v>
      </x:c>
      <x:c r="E5" s="10" t="str">
        <x:v>未排天</x:v>
      </x:c>
      <x:c r="F5" s="10" t="str">
        <x:v>週工時16～40h</x:v>
      </x:c>
      <x:c r="G5" s="10" t="str">
        <x:v>週末整天數</x:v>
      </x:c>
      <x:c r="H5" s="10" t="str">
        <x:v>週末要求</x:v>
      </x:c>
      <x:c r="I5" s="10" t="str">
        <x:v>週內最長連上</x:v>
      </x:c>
      <x:c r="J5" s="10" t="str">
        <x:v>9/14～9/19工時</x:v>
      </x:c>
      <x:c r="K5" s="10" t="str">
        <x:v>9/13資料</x:v>
      </x:c>
      <x:c r="L5" s="10" t="str">
        <x:v>跨週／四週</x:v>
      </x:c>
      <x:c r="M5" s="10" t="str">
        <x:v>休息／其他</x:v>
      </x:c>
      <x:c r="O5" t="str">
        <x:v>一連上計數</x:v>
      </x:c>
      <x:c r="P5" t="str">
        <x:v>二連上計數</x:v>
      </x:c>
      <x:c r="Q5" t="str">
        <x:v>三連上計數</x:v>
      </x:c>
      <x:c r="R5" t="str">
        <x:v>四連上計數</x:v>
      </x:c>
      <x:c r="S5" t="str">
        <x:v>五連上計數</x:v>
      </x:c>
      <x:c r="T5" t="str">
        <x:v>六連上計數</x:v>
      </x:c>
      <x:c r="U5" t="str">
        <x:v>日連上計數</x:v>
      </x:c>
    </x:row>
    <x:row r="6" ht="42" customHeight="1">
      <x:c r="A6" s="11" t="str">
        <x:v>Meryl</x:v>
      </x:c>
      <x:c r="B6" s="11" t="str">
        <x:v>店長</x:v>
      </x:c>
      <x:c r="C6" s="16" t="n">
        <x:f>SUM('班次明細'!L6:L12)</x:f>
        <x:v>40.00000000000001</x:v>
      </x:c>
      <x:c r="D6" s="11" t="n">
        <x:f>COUNTIF('班次明細'!L6:L12,"&gt;0")</x:f>
        <x:v>5</x:v>
      </x:c>
      <x:c r="E6" s="11" t="n">
        <x:f>ROWS('班次明細'!L6:L12)-D6</x:f>
        <x:v>2</x:v>
      </x:c>
      <x:c r="F6" s="11" t="str">
        <x:f>"不適用"</x:f>
        <x:v>不適用</x:v>
      </x:c>
      <x:c r="G6" s="11" t="n">
        <x:f>SUM('班次明細'!N11:N12)</x:f>
        <x:v>1</x:v>
      </x:c>
      <x:c r="H6" s="11" t="str">
        <x:f>"不適用"</x:f>
        <x:v>不適用</x:v>
      </x:c>
      <x:c r="I6" s="11" t="n">
        <x:f>MAX(O6:U6)</x:f>
        <x:v>3</x:v>
      </x:c>
      <x:c r="J6" s="16" t="n">
        <x:f>SUM('班次明細'!L6:L11)</x:f>
        <x:v>40.00000000000001</x:v>
      </x:c>
      <x:c r="K6" s="11" t="str">
        <x:v>8小時</x:v>
      </x:c>
      <x:c r="L6" s="11" t="str">
        <x:v>9/13已接續；四週待核</x:v>
      </x:c>
      <x:c r="M6" s="11" t="str">
        <x:f>IF(AND(E6&gt;=2,I6&lt;7),"本週休2天且未連7天","正職週休／連上未達")&amp;"；9/13已接續、月班與四週待核"</x:f>
        <x:v>本週休2天且未連7天；9/13已接續、月班與四週待核</x:v>
      </x:c>
      <x:c r="O6" t="n">
        <x:f>IF('班次明細'!L6&gt;0,2,0)</x:f>
        <x:v>2</x:v>
      </x:c>
      <x:c r="P6" t="n">
        <x:f>IF('班次明細'!L7&gt;0,O6+1,0)</x:f>
        <x:v>3</x:v>
      </x:c>
      <x:c r="Q6" t="n">
        <x:f>IF('班次明細'!L8&gt;0,P6+1,0)</x:f>
        <x:v>0</x:v>
      </x:c>
      <x:c r="R6" t="n">
        <x:f>IF('班次明細'!L9&gt;0,Q6+1,0)</x:f>
        <x:v>1</x:v>
      </x:c>
      <x:c r="S6" t="n">
        <x:f>IF('班次明細'!L10&gt;0,R6+1,0)</x:f>
        <x:v>2</x:v>
      </x:c>
      <x:c r="T6" t="n">
        <x:f>IF('班次明細'!L11&gt;0,S6+1,0)</x:f>
        <x:v>3</x:v>
      </x:c>
      <x:c r="U6" t="n">
        <x:f>IF('班次明細'!L12&gt;0,T6+1,0)</x:f>
        <x:v>0</x:v>
      </x:c>
    </x:row>
    <x:row r="7" ht="42" customHeight="1">
      <x:c r="A7" s="11" t="str">
        <x:v>Tom</x:v>
      </x:c>
      <x:c r="B7" s="11" t="str">
        <x:v>正職</x:v>
      </x:c>
      <x:c r="C7" s="16" t="n">
        <x:f>SUM('班次明細'!L13:L19)</x:f>
        <x:v>40</x:v>
      </x:c>
      <x:c r="D7" s="11" t="n">
        <x:f>COUNTIF('班次明細'!L13:L19,"&gt;0")</x:f>
        <x:v>5</x:v>
      </x:c>
      <x:c r="E7" s="11" t="n">
        <x:f>ROWS('班次明細'!L13:L19)-D7</x:f>
        <x:v>2</x:v>
      </x:c>
      <x:c r="F7" s="11" t="str">
        <x:f>"不適用"</x:f>
        <x:v>不適用</x:v>
      </x:c>
      <x:c r="G7" s="11" t="n">
        <x:f>SUM('班次明細'!N18:N19)</x:f>
        <x:v>2</x:v>
      </x:c>
      <x:c r="H7" s="11" t="str">
        <x:f>"不適用"</x:f>
        <x:v>不適用</x:v>
      </x:c>
      <x:c r="I7" s="11" t="n">
        <x:f>MAX(O7:U7)</x:f>
        <x:v>3</x:v>
      </x:c>
      <x:c r="J7" s="16" t="n">
        <x:f>SUM('班次明細'!L13:L18)</x:f>
        <x:v>32</x:v>
      </x:c>
      <x:c r="K7" s="11" t="str">
        <x:v>未排</x:v>
      </x:c>
      <x:c r="L7" s="11" t="str">
        <x:v>9/13已接續；四週待核</x:v>
      </x:c>
      <x:c r="M7" s="11" t="str">
        <x:f>IF(AND(E7&gt;=2,I7&lt;7),"本週休2天且未連7天","正職週休／連上未達")&amp;"；9/13已接續、月班與四週待核"</x:f>
        <x:v>本週休2天且未連7天；9/13已接續、月班與四週待核</x:v>
      </x:c>
      <x:c r="O7" t="n">
        <x:f>IF('班次明細'!L13&gt;0,1,0)</x:f>
        <x:v>1</x:v>
      </x:c>
      <x:c r="P7" t="n">
        <x:f>IF('班次明細'!L14&gt;0,O7+1,0)</x:f>
        <x:v>2</x:v>
      </x:c>
      <x:c r="Q7" t="n">
        <x:f>IF('班次明細'!L15&gt;0,P7+1,0)</x:f>
        <x:v>3</x:v>
      </x:c>
      <x:c r="R7" t="n">
        <x:f>IF('班次明細'!L16&gt;0,Q7+1,0)</x:f>
        <x:v>0</x:v>
      </x:c>
      <x:c r="S7" t="n">
        <x:f>IF('班次明細'!L17&gt;0,R7+1,0)</x:f>
        <x:v>0</x:v>
      </x:c>
      <x:c r="T7" t="n">
        <x:f>IF('班次明細'!L18&gt;0,S7+1,0)</x:f>
        <x:v>1</x:v>
      </x:c>
      <x:c r="U7" t="n">
        <x:f>IF('班次明細'!L19&gt;0,T7+1,0)</x:f>
        <x:v>2</x:v>
      </x:c>
    </x:row>
    <x:row r="8" ht="42" customHeight="1">
      <x:c r="A8" s="11" t="str">
        <x:v>Emma</x:v>
      </x:c>
      <x:c r="B8" s="11" t="str">
        <x:v>正職</x:v>
      </x:c>
      <x:c r="C8" s="16" t="n">
        <x:f>SUM('班次明細'!L20:L26)</x:f>
        <x:v>40</x:v>
      </x:c>
      <x:c r="D8" s="11" t="n">
        <x:f>COUNTIF('班次明細'!L20:L26,"&gt;0")</x:f>
        <x:v>5</x:v>
      </x:c>
      <x:c r="E8" s="11" t="n">
        <x:f>ROWS('班次明細'!L20:L26)-D8</x:f>
        <x:v>2</x:v>
      </x:c>
      <x:c r="F8" s="11" t="str">
        <x:f>"不適用"</x:f>
        <x:v>不適用</x:v>
      </x:c>
      <x:c r="G8" s="11" t="n">
        <x:f>SUM('班次明細'!N25:N26)</x:f>
        <x:v>1</x:v>
      </x:c>
      <x:c r="H8" s="11" t="str">
        <x:f>"不適用"</x:f>
        <x:v>不適用</x:v>
      </x:c>
      <x:c r="I8" s="11" t="n">
        <x:f>MAX(O8:U8)</x:f>
        <x:v>4</x:v>
      </x:c>
      <x:c r="J8" s="16" t="n">
        <x:f>SUM('班次明細'!L20:L25)</x:f>
        <x:v>31.999999999999996</x:v>
      </x:c>
      <x:c r="K8" s="11" t="str">
        <x:v>8小時</x:v>
      </x:c>
      <x:c r="L8" s="11" t="str">
        <x:v>9/13已接續；四週待核</x:v>
      </x:c>
      <x:c r="M8" s="11" t="str">
        <x:f>IF(AND(E8&gt;=2,I8&lt;7),"本週休2天且未連7天","正職週休／連上未達")&amp;"；9/13已接續、月班與四週待核"</x:f>
        <x:v>本週休2天且未連7天；9/13已接續、月班與四週待核</x:v>
      </x:c>
      <x:c r="O8" t="n">
        <x:f>IF('班次明細'!L20&gt;0,2,0)</x:f>
        <x:v>0</x:v>
      </x:c>
      <x:c r="P8" t="n">
        <x:f>IF('班次明細'!L21&gt;0,O8+1,0)</x:f>
        <x:v>1</x:v>
      </x:c>
      <x:c r="Q8" t="n">
        <x:f>IF('班次明細'!L22&gt;0,P8+1,0)</x:f>
        <x:v>2</x:v>
      </x:c>
      <x:c r="R8" t="n">
        <x:f>IF('班次明細'!L23&gt;0,Q8+1,0)</x:f>
        <x:v>3</x:v>
      </x:c>
      <x:c r="S8" t="n">
        <x:f>IF('班次明細'!L24&gt;0,R8+1,0)</x:f>
        <x:v>4</x:v>
      </x:c>
      <x:c r="T8" t="n">
        <x:f>IF('班次明細'!L25&gt;0,S8+1,0)</x:f>
        <x:v>0</x:v>
      </x:c>
      <x:c r="U8" t="n">
        <x:f>IF('班次明細'!L26&gt;0,T8+1,0)</x:f>
        <x:v>1</x:v>
      </x:c>
    </x:row>
    <x:row r="9" ht="42" customHeight="1">
      <x:c r="A9" s="11" t="str">
        <x:v>Brad</x:v>
      </x:c>
      <x:c r="B9" s="11" t="str">
        <x:v>工讀</x:v>
      </x:c>
      <x:c r="C9" s="16" t="n">
        <x:f>SUM('班次明細'!L27:L33)</x:f>
        <x:v>24.000000000000004</x:v>
      </x:c>
      <x:c r="D9" s="11" t="n">
        <x:f>COUNTIF('班次明細'!L27:L33,"&gt;0")</x:f>
        <x:v>5</x:v>
      </x:c>
      <x:c r="E9" s="11" t="n">
        <x:f>ROWS('班次明細'!L27:L33)-D9</x:f>
        <x:v>2</x:v>
      </x:c>
      <x:c r="F9" s="11" t="str">
        <x:f>IF(AND(C9&gt;='規則與技能'!$B$7,C9&lt;=40),"本週達標",IF(C9&lt;16,"未達16h","超過40h"))</x:f>
        <x:v>本週達標</x:v>
      </x:c>
      <x:c r="G9" s="11" t="n">
        <x:f>SUM('班次明細'!N32:N33)</x:f>
        <x:v>1</x:v>
      </x:c>
      <x:c r="H9" s="11" t="str">
        <x:f>IF(G9&gt;0,"本週符合","未安排整天")</x:f>
        <x:v>本週符合</x:v>
      </x:c>
      <x:c r="I9" s="11" t="n">
        <x:f>MAX(O9:U9)</x:f>
        <x:v>2</x:v>
      </x:c>
      <x:c r="J9" s="16" t="n">
        <x:f>SUM('班次明細'!L27:L32)</x:f>
        <x:v>16.000000000000004</x:v>
      </x:c>
      <x:c r="K9" s="11" t="str">
        <x:v>未排</x:v>
      </x:c>
      <x:c r="L9" s="11" t="str">
        <x:v>9/13已接續；四週待核</x:v>
      </x:c>
      <x:c r="M9" s="11" t="str">
        <x:f>IF(E9&gt;=2,"本週至少休2天","未達本週至少休2天")&amp;"；9/21後未提供"</x:f>
        <x:v>本週至少休2天；9/21後未提供</x:v>
      </x:c>
      <x:c r="O9" t="n">
        <x:f>IF('班次明細'!L27&gt;0,1,0)</x:f>
        <x:v>1</x:v>
      </x:c>
      <x:c r="P9" t="n">
        <x:f>IF('班次明細'!L28&gt;0,O9+1,0)</x:f>
        <x:v>2</x:v>
      </x:c>
      <x:c r="Q9" t="n">
        <x:f>IF('班次明細'!L29&gt;0,P9+1,0)</x:f>
        <x:v>0</x:v>
      </x:c>
      <x:c r="R9" t="n">
        <x:f>IF('班次明細'!L30&gt;0,Q9+1,0)</x:f>
        <x:v>1</x:v>
      </x:c>
      <x:c r="S9" t="n">
        <x:f>IF('班次明細'!L31&gt;0,R9+1,0)</x:f>
        <x:v>2</x:v>
      </x:c>
      <x:c r="T9" t="n">
        <x:f>IF('班次明細'!L32&gt;0,S9+1,0)</x:f>
        <x:v>0</x:v>
      </x:c>
      <x:c r="U9" t="n">
        <x:f>IF('班次明細'!L33&gt;0,T9+1,0)</x:f>
        <x:v>1</x:v>
      </x:c>
    </x:row>
    <x:row r="10" ht="42" customHeight="1">
      <x:c r="A10" s="11" t="str">
        <x:v>Keanu</x:v>
      </x:c>
      <x:c r="B10" s="11" t="str">
        <x:v>工讀</x:v>
      </x:c>
      <x:c r="C10" s="16" t="n">
        <x:f>SUM('班次明細'!L34:L40)</x:f>
        <x:v>20.499999999999996</x:v>
      </x:c>
      <x:c r="D10" s="11" t="n">
        <x:f>COUNTIF('班次明細'!L34:L40,"&gt;0")</x:f>
        <x:v>3</x:v>
      </x:c>
      <x:c r="E10" s="11" t="n">
        <x:f>ROWS('班次明細'!L34:L40)-D10</x:f>
        <x:v>4</x:v>
      </x:c>
      <x:c r="F10" s="11" t="str">
        <x:f>IF(AND(C10&gt;='規則與技能'!$B$7,C10&lt;=40),"本週達標",IF(C10&lt;16,"未達16h","超過40h"))</x:f>
        <x:v>本週達標</x:v>
      </x:c>
      <x:c r="G10" s="11" t="n">
        <x:f>SUM('班次明細'!N39:N40)</x:f>
        <x:v>1</x:v>
      </x:c>
      <x:c r="H10" s="11" t="str">
        <x:f>IF(G10&gt;0,"本週符合","未安排整天")</x:f>
        <x:v>本週符合</x:v>
      </x:c>
      <x:c r="I10" s="11" t="n">
        <x:f>MAX(O10:U10)</x:f>
        <x:v>2</x:v>
      </x:c>
      <x:c r="J10" s="16" t="n">
        <x:f>SUM('班次明細'!L34:L39)</x:f>
        <x:v>12.499999999999996</x:v>
      </x:c>
      <x:c r="K10" s="11" t="str">
        <x:v>8小時</x:v>
      </x:c>
      <x:c r="L10" s="11" t="str">
        <x:v>9/13已接續；四週待核</x:v>
      </x:c>
      <x:c r="M10" s="11" t="str">
        <x:f>IF(E10&gt;=2,"本週至少休2天","未達本週至少休2天")&amp;"；週六晚休息建議待核定"</x:f>
        <x:v>本週至少休2天；週六晚休息建議待核定</x:v>
      </x:c>
      <x:c r="O10" t="n">
        <x:f>IF('班次明細'!L34&gt;0,2,0)</x:f>
        <x:v>0</x:v>
      </x:c>
      <x:c r="P10" t="n">
        <x:f>IF('班次明細'!L35&gt;0,O10+1,0)</x:f>
        <x:v>0</x:v>
      </x:c>
      <x:c r="Q10" t="n">
        <x:f>IF('班次明細'!L36&gt;0,P10+1,0)</x:f>
        <x:v>0</x:v>
      </x:c>
      <x:c r="R10" t="n">
        <x:f>IF('班次明細'!L37&gt;0,Q10+1,0)</x:f>
        <x:v>1</x:v>
      </x:c>
      <x:c r="S10" t="n">
        <x:f>IF('班次明細'!L38&gt;0,R10+1,0)</x:f>
        <x:v>0</x:v>
      </x:c>
      <x:c r="T10" t="n">
        <x:f>IF('班次明細'!L39&gt;0,S10+1,0)</x:f>
        <x:v>1</x:v>
      </x:c>
      <x:c r="U10" t="n">
        <x:f>IF('班次明細'!L40&gt;0,T10+1,0)</x:f>
        <x:v>2</x:v>
      </x:c>
    </x:row>
    <x:row r="11" ht="42" customHeight="1">
      <x:c r="A11" s="11" t="str">
        <x:v>Denzel</x:v>
      </x:c>
      <x:c r="B11" s="11" t="str">
        <x:v>工讀</x:v>
      </x:c>
      <x:c r="C11" s="16" t="n">
        <x:f>SUM('班次明細'!L41:L47)</x:f>
        <x:v>21</x:v>
      </x:c>
      <x:c r="D11" s="11" t="n">
        <x:f>COUNTIF('班次明細'!L41:L47,"&gt;0")</x:f>
        <x:v>3</x:v>
      </x:c>
      <x:c r="E11" s="11" t="n">
        <x:f>ROWS('班次明細'!L41:L47)-D11</x:f>
        <x:v>4</x:v>
      </x:c>
      <x:c r="F11" s="11" t="str">
        <x:f>IF(AND(C11&gt;='規則與技能'!$B$7,C11&lt;=40),"本週達標",IF(C11&lt;16,"未達16h","超過40h"))</x:f>
        <x:v>本週達標</x:v>
      </x:c>
      <x:c r="G11" s="11" t="n">
        <x:f>SUM('班次明細'!N46:N47)</x:f>
        <x:v>2</x:v>
      </x:c>
      <x:c r="H11" s="11" t="str">
        <x:f>IF(G11&gt;0,"本週符合","未安排整天")</x:f>
        <x:v>本週符合</x:v>
      </x:c>
      <x:c r="I11" s="11" t="n">
        <x:f>MAX(O11:U11)</x:f>
        <x:v>2</x:v>
      </x:c>
      <x:c r="J11" s="16" t="n">
        <x:f>SUM('班次明細'!L41:L46)</x:f>
        <x:v>13</x:v>
      </x:c>
      <x:c r="K11" s="11" t="str">
        <x:v>8小時</x:v>
      </x:c>
      <x:c r="L11" s="11" t="str">
        <x:v>9/13已接續；四週待核</x:v>
      </x:c>
      <x:c r="M11" s="11" t="str">
        <x:f>IF(E11&gt;=2,"本週至少休2天","未達本週至少休2天")&amp;"；9/21後未提供"</x:f>
        <x:v>本週至少休2天；9/21後未提供</x:v>
      </x:c>
      <x:c r="O11" t="n">
        <x:f>IF('班次明細'!L41&gt;0,2,0)</x:f>
        <x:v>2</x:v>
      </x:c>
      <x:c r="P11" t="n">
        <x:f>IF('班次明細'!L42&gt;0,O11+1,0)</x:f>
        <x:v>0</x:v>
      </x:c>
      <x:c r="Q11" t="n">
        <x:f>IF('班次明細'!L43&gt;0,P11+1,0)</x:f>
        <x:v>0</x:v>
      </x:c>
      <x:c r="R11" t="n">
        <x:f>IF('班次明細'!L44&gt;0,Q11+1,0)</x:f>
        <x:v>0</x:v>
      </x:c>
      <x:c r="S11" t="n">
        <x:f>IF('班次明細'!L45&gt;0,R11+1,0)</x:f>
        <x:v>0</x:v>
      </x:c>
      <x:c r="T11" t="n">
        <x:f>IF('班次明細'!L46&gt;0,S11+1,0)</x:f>
        <x:v>1</x:v>
      </x:c>
      <x:c r="U11" t="n">
        <x:f>IF('班次明細'!L47&gt;0,T11+1,0)</x:f>
        <x:v>2</x:v>
      </x:c>
    </x:row>
    <x:row r="12" ht="42" customHeight="1">
      <x:c r="A12" s="11" t="str">
        <x:v>Will</x:v>
      </x:c>
      <x:c r="B12" s="11" t="str">
        <x:v>工讀</x:v>
      </x:c>
      <x:c r="C12" s="16" t="n">
        <x:f>SUM('班次明細'!L48:L54)</x:f>
        <x:v>22.000000000000007</x:v>
      </x:c>
      <x:c r="D12" s="11" t="n">
        <x:f>COUNTIF('班次明細'!L48:L54,"&gt;0")</x:f>
        <x:v>5</x:v>
      </x:c>
      <x:c r="E12" s="11" t="n">
        <x:f>ROWS('班次明細'!L48:L54)-D12</x:f>
        <x:v>2</x:v>
      </x:c>
      <x:c r="F12" s="11" t="str">
        <x:f>IF(AND(C12&gt;='規則與技能'!$B$7,C12&lt;=40),"本週達標",IF(C12&lt;16,"未達16h","超過40h"))</x:f>
        <x:v>本週達標</x:v>
      </x:c>
      <x:c r="G12" s="11" t="n">
        <x:f>SUM('班次明細'!N53:N54)</x:f>
        <x:v>1</x:v>
      </x:c>
      <x:c r="H12" s="11" t="str">
        <x:f>IF(G12&gt;0,"本週符合","未安排整天")</x:f>
        <x:v>本週符合</x:v>
      </x:c>
      <x:c r="I12" s="11" t="n">
        <x:f>MAX(O12:U12)</x:f>
        <x:v>4</x:v>
      </x:c>
      <x:c r="J12" s="16" t="n">
        <x:f>SUM('班次明細'!L48:L53)</x:f>
        <x:v>22.000000000000007</x:v>
      </x:c>
      <x:c r="K12" s="11" t="str">
        <x:v>8小時</x:v>
      </x:c>
      <x:c r="L12" s="11" t="str">
        <x:v>9/13已接續；四週待核</x:v>
      </x:c>
      <x:c r="M12" s="11" t="str">
        <x:f>IF(E12&gt;=2,"本週至少休2天","未達本週至少休2天")&amp;"；9/21後未提供"</x:f>
        <x:v>本週至少休2天；9/21後未提供</x:v>
      </x:c>
      <x:c r="O12" t="n">
        <x:f>IF('班次明細'!L48&gt;0,2,0)</x:f>
        <x:v>2</x:v>
      </x:c>
      <x:c r="P12" t="n">
        <x:f>IF('班次明細'!L49&gt;0,O12+1,0)</x:f>
        <x:v>0</x:v>
      </x:c>
      <x:c r="Q12" t="n">
        <x:f>IF('班次明細'!L50&gt;0,P12+1,0)</x:f>
        <x:v>1</x:v>
      </x:c>
      <x:c r="R12" t="n">
        <x:f>IF('班次明細'!L51&gt;0,Q12+1,0)</x:f>
        <x:v>2</x:v>
      </x:c>
      <x:c r="S12" t="n">
        <x:f>IF('班次明細'!L52&gt;0,R12+1,0)</x:f>
        <x:v>3</x:v>
      </x:c>
      <x:c r="T12" t="n">
        <x:f>IF('班次明細'!L53&gt;0,S12+1,0)</x:f>
        <x:v>4</x:v>
      </x:c>
      <x:c r="U12" t="n">
        <x:f>IF('班次明細'!L54&gt;0,T12+1,0)</x:f>
        <x:v>0</x:v>
      </x:c>
    </x:row>
    <x:row r="13" ht="42" customHeight="1">
      <x:c r="A13" s="11" t="str">
        <x:v>Leo</x:v>
      </x:c>
      <x:c r="B13" s="11" t="str">
        <x:v>工讀</x:v>
      </x:c>
      <x:c r="C13" s="16" t="n">
        <x:f>SUM('班次明細'!L55:L61)</x:f>
        <x:v>20.5</x:v>
      </x:c>
      <x:c r="D13" s="11" t="n">
        <x:f>COUNTIF('班次明細'!L55:L61,"&gt;0")</x:f>
        <x:v>4</x:v>
      </x:c>
      <x:c r="E13" s="11" t="n">
        <x:f>ROWS('班次明細'!L55:L61)-D13</x:f>
        <x:v>3</x:v>
      </x:c>
      <x:c r="F13" s="11" t="str">
        <x:f>IF(AND(C13&gt;='規則與技能'!$B$7,C13&lt;=40),"本週達標",IF(C13&lt;16,"未達16h","超過40h"))</x:f>
        <x:v>本週達標</x:v>
      </x:c>
      <x:c r="G13" s="11" t="n">
        <x:f>SUM('班次明細'!N60:N61)</x:f>
        <x:v>1</x:v>
      </x:c>
      <x:c r="H13" s="11" t="str">
        <x:f>IF(G13&gt;0,"本週符合","未安排整天")</x:f>
        <x:v>本週符合</x:v>
      </x:c>
      <x:c r="I13" s="11" t="n">
        <x:f>MAX(O13:U13)</x:f>
        <x:v>2</x:v>
      </x:c>
      <x:c r="J13" s="16" t="n">
        <x:f>SUM('班次明細'!L55:L60)</x:f>
        <x:v>15</x:v>
      </x:c>
      <x:c r="K13" s="11" t="str">
        <x:v>5.5小時</x:v>
      </x:c>
      <x:c r="L13" s="11" t="str">
        <x:v>9/13已接續；四週待核</x:v>
      </x:c>
      <x:c r="M13" s="11" t="str">
        <x:f>IF(E13&gt;=2,"本週至少休2天","未達本週至少休2天")&amp;"；9/21後未提供"</x:f>
        <x:v>本週至少休2天；9/21後未提供</x:v>
      </x:c>
      <x:c r="O13" t="n">
        <x:f>IF('班次明細'!L55&gt;0,2,0)</x:f>
        <x:v>0</x:v>
      </x:c>
      <x:c r="P13" t="n">
        <x:f>IF('班次明細'!L56&gt;0,O13+1,0)</x:f>
        <x:v>0</x:v>
      </x:c>
      <x:c r="Q13" t="n">
        <x:f>IF('班次明細'!L57&gt;0,P13+1,0)</x:f>
        <x:v>1</x:v>
      </x:c>
      <x:c r="R13" t="n">
        <x:f>IF('班次明細'!L58&gt;0,Q13+1,0)</x:f>
        <x:v>2</x:v>
      </x:c>
      <x:c r="S13" t="n">
        <x:f>IF('班次明細'!L59&gt;0,R13+1,0)</x:f>
        <x:v>0</x:v>
      </x:c>
      <x:c r="T13" t="n">
        <x:f>IF('班次明細'!L60&gt;0,S13+1,0)</x:f>
        <x:v>1</x:v>
      </x:c>
      <x:c r="U13" t="n">
        <x:f>IF('班次明細'!L61&gt;0,T13+1,0)</x:f>
        <x:v>2</x:v>
      </x:c>
    </x:row>
    <x:row r="14" ht="42" customHeight="1">
      <x:c r="A14" s="11" t="str">
        <x:v>Zendaya</x:v>
      </x:c>
      <x:c r="B14" s="11" t="str">
        <x:v>工讀</x:v>
      </x:c>
      <x:c r="C14" s="16" t="n">
        <x:f>SUM('班次明細'!L62:L68)</x:f>
        <x:v>23.999999999999996</x:v>
      </x:c>
      <x:c r="D14" s="11" t="n">
        <x:f>COUNTIF('班次明細'!L62:L68,"&gt;0")</x:f>
        <x:v>3</x:v>
      </x:c>
      <x:c r="E14" s="11" t="n">
        <x:f>ROWS('班次明細'!L62:L68)-D14</x:f>
        <x:v>4</x:v>
      </x:c>
      <x:c r="F14" s="11" t="str">
        <x:f>IF(AND(C14&gt;='規則與技能'!$B$7,C14&lt;=40),"本週達標",IF(C14&lt;16,"未達16h","超過40h"))</x:f>
        <x:v>本週達標</x:v>
      </x:c>
      <x:c r="G14" s="11" t="n">
        <x:f>SUM('班次明細'!N67:N68)</x:f>
        <x:v>0</x:v>
      </x:c>
      <x:c r="H14" s="11" t="str">
        <x:f>"已核准例外"</x:f>
        <x:v>已核准例外</x:v>
      </x:c>
      <x:c r="I14" s="11" t="n">
        <x:f>MAX(O14:U14)</x:f>
        <x:v>1</x:v>
      </x:c>
      <x:c r="J14" s="16" t="n">
        <x:f>SUM('班次明細'!L62:L67)</x:f>
        <x:v>23.999999999999996</x:v>
      </x:c>
      <x:c r="K14" s="11" t="str">
        <x:v>未排</x:v>
      </x:c>
      <x:c r="L14" s="11" t="str">
        <x:v>9/13已接續；四週待核</x:v>
      </x:c>
      <x:c r="M14" s="11" t="str">
        <x:f>IF(E14&gt;=2,"本週至少休2天","未達本週至少休2天")&amp;"；9/21後未提供"</x:f>
        <x:v>本週至少休2天；9/21後未提供</x:v>
      </x:c>
      <x:c r="O14" t="n">
        <x:f>IF('班次明細'!L62&gt;0,1,0)</x:f>
        <x:v>1</x:v>
      </x:c>
      <x:c r="P14" t="n">
        <x:f>IF('班次明細'!L63&gt;0,O14+1,0)</x:f>
        <x:v>0</x:v>
      </x:c>
      <x:c r="Q14" t="n">
        <x:f>IF('班次明細'!L64&gt;0,P14+1,0)</x:f>
        <x:v>1</x:v>
      </x:c>
      <x:c r="R14" t="n">
        <x:f>IF('班次明細'!L65&gt;0,Q14+1,0)</x:f>
        <x:v>0</x:v>
      </x:c>
      <x:c r="S14" t="n">
        <x:f>IF('班次明細'!L66&gt;0,R14+1,0)</x:f>
        <x:v>1</x:v>
      </x:c>
      <x:c r="T14" t="n">
        <x:f>IF('班次明細'!L67&gt;0,S14+1,0)</x:f>
        <x:v>0</x:v>
      </x:c>
      <x:c r="U14" t="n">
        <x:f>IF('班次明細'!L68&gt;0,T14+1,0)</x:f>
        <x:v>0</x:v>
      </x:c>
    </x:row>
    <x:row r="15" ht="42" customHeight="1">
      <x:c r="A15" s="11" t="str">
        <x:v>Morgan</x:v>
      </x:c>
      <x:c r="B15" s="11" t="str">
        <x:v>工讀</x:v>
      </x:c>
      <x:c r="C15" s="16" t="n">
        <x:f>SUM('班次明細'!L69:L75)</x:f>
        <x:v>19.999999999999996</x:v>
      </x:c>
      <x:c r="D15" s="11" t="n">
        <x:f>COUNTIF('班次明細'!L69:L75,"&gt;0")</x:f>
        <x:v>4</x:v>
      </x:c>
      <x:c r="E15" s="11" t="n">
        <x:f>ROWS('班次明細'!L69:L75)-D15</x:f>
        <x:v>3</x:v>
      </x:c>
      <x:c r="F15" s="11" t="str">
        <x:f>IF(AND(C15&gt;='規則與技能'!$B$7,C15&lt;=40),"本週達標",IF(C15&lt;16,"未達16h","超過40h"))</x:f>
        <x:v>本週達標</x:v>
      </x:c>
      <x:c r="G15" s="11" t="n">
        <x:f>SUM('班次明細'!N74:N75)</x:f>
        <x:v>0</x:v>
      </x:c>
      <x:c r="H15" s="11" t="str">
        <x:f>"已核准例外"</x:f>
        <x:v>已核准例外</x:v>
      </x:c>
      <x:c r="I15" s="11" t="n">
        <x:f>MAX(O15:U15)</x:f>
        <x:v>4</x:v>
      </x:c>
      <x:c r="J15" s="16" t="n">
        <x:f>SUM('班次明細'!L69:L74)</x:f>
        <x:v>19.999999999999996</x:v>
      </x:c>
      <x:c r="K15" s="11" t="str">
        <x:v>未排</x:v>
      </x:c>
      <x:c r="L15" s="11" t="str">
        <x:v>9/13已接續；四週待核</x:v>
      </x:c>
      <x:c r="M15" s="11" t="str">
        <x:f>IF(E15&gt;=2,"本週至少休2天","未達本週至少休2天")&amp;"；9/21後未提供"</x:f>
        <x:v>本週至少休2天；9/21後未提供</x:v>
      </x:c>
      <x:c r="O15" t="n">
        <x:f>IF('班次明細'!L69&gt;0,1,0)</x:f>
        <x:v>0</x:v>
      </x:c>
      <x:c r="P15" t="n">
        <x:f>IF('班次明細'!L70&gt;0,O15+1,0)</x:f>
        <x:v>1</x:v>
      </x:c>
      <x:c r="Q15" t="n">
        <x:f>IF('班次明細'!L71&gt;0,P15+1,0)</x:f>
        <x:v>2</x:v>
      </x:c>
      <x:c r="R15" t="n">
        <x:f>IF('班次明細'!L72&gt;0,Q15+1,0)</x:f>
        <x:v>3</x:v>
      </x:c>
      <x:c r="S15" t="n">
        <x:f>IF('班次明細'!L73&gt;0,R15+1,0)</x:f>
        <x:v>4</x:v>
      </x:c>
      <x:c r="T15" t="n">
        <x:f>IF('班次明細'!L74&gt;0,S15+1,0)</x:f>
        <x:v>0</x:v>
      </x:c>
      <x:c r="U15" t="n">
        <x:f>IF('班次明細'!L75&gt;0,T15+1,0)</x:f>
        <x:v>0</x:v>
      </x:c>
    </x:row>
    <x:row r="16" ht="42" customHeight="1">
      <x:c r="A16" s="11" t="str">
        <x:v>Scarlett</x:v>
      </x:c>
      <x:c r="B16" s="11" t="str">
        <x:v>工讀</x:v>
      </x:c>
      <x:c r="C16" s="16" t="n">
        <x:f>SUM('班次明細'!L76:L82)</x:f>
        <x:v>24</x:v>
      </x:c>
      <x:c r="D16" s="11" t="n">
        <x:f>COUNTIF('班次明細'!L76:L82,"&gt;0")</x:f>
        <x:v>4</x:v>
      </x:c>
      <x:c r="E16" s="11" t="n">
        <x:f>ROWS('班次明細'!L76:L82)-D16</x:f>
        <x:v>3</x:v>
      </x:c>
      <x:c r="F16" s="11" t="str">
        <x:f>IF(AND(C16&gt;='規則與技能'!$B$7,C16&lt;=40),"本週達標",IF(C16&lt;16,"未達16h","超過40h"))</x:f>
        <x:v>本週達標</x:v>
      </x:c>
      <x:c r="G16" s="11" t="n">
        <x:f>SUM('班次明細'!N81:N82)</x:f>
        <x:v>2</x:v>
      </x:c>
      <x:c r="H16" s="11" t="str">
        <x:f>IF(G16&gt;0,"本週符合","未安排整天")</x:f>
        <x:v>本週符合</x:v>
      </x:c>
      <x:c r="I16" s="11" t="n">
        <x:f>MAX(O16:U16)</x:f>
        <x:v>3</x:v>
      </x:c>
      <x:c r="J16" s="16" t="n">
        <x:f>SUM('班次明細'!L76:L81)</x:f>
        <x:v>16</x:v>
      </x:c>
      <x:c r="K16" s="11" t="str">
        <x:v>8小時</x:v>
      </x:c>
      <x:c r="L16" s="11" t="str">
        <x:v>9/13已接續；四週待核</x:v>
      </x:c>
      <x:c r="M16" s="11" t="str">
        <x:f>IF(E16&gt;=3,"本週至少休3天","未達Scarlett至少休3天")&amp;"；Scarlett至少休3天"</x:f>
        <x:v>本週至少休3天；Scarlett至少休3天</x:v>
      </x:c>
      <x:c r="O16" t="n">
        <x:f>IF('班次明細'!L76&gt;0,2,0)</x:f>
        <x:v>0</x:v>
      </x:c>
      <x:c r="P16" t="n">
        <x:f>IF('班次明細'!L77&gt;0,O16+1,0)</x:f>
        <x:v>1</x:v>
      </x:c>
      <x:c r="Q16" t="n">
        <x:f>IF('班次明細'!L78&gt;0,P16+1,0)</x:f>
        <x:v>0</x:v>
      </x:c>
      <x:c r="R16" t="n">
        <x:f>IF('班次明細'!L79&gt;0,Q16+1,0)</x:f>
        <x:v>0</x:v>
      </x:c>
      <x:c r="S16" t="n">
        <x:f>IF('班次明細'!L80&gt;0,R16+1,0)</x:f>
        <x:v>1</x:v>
      </x:c>
      <x:c r="T16" t="n">
        <x:f>IF('班次明細'!L81&gt;0,S16+1,0)</x:f>
        <x:v>2</x:v>
      </x:c>
      <x:c r="U16" t="n">
        <x:f>IF('班次明細'!L82&gt;0,T16+1,0)</x:f>
        <x:v>3</x:v>
      </x:c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A19" s="11" t="str">
        <x:v>「未排天」包含指定休、可排未選與非給班，不等於已確認的法定休假。已接續上一版 9/13 班次檢查至 9/19；9/21 後、四週起算、完整月班表與假別分類仍待補，不能據此認定整體合法。</x:v>
      </x:c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</x:row>
    <x:row r="20" ht="24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</x:row>
    <x:row r="21" ht="24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</x:sheetData>
  <x:mergeCells>
    <x:mergeCell ref="A1:M1"/>
    <x:mergeCell ref="A2:M3"/>
    <x:mergeCell ref="A19:M21"/>
  </x:mergeCells>
  <x:conditionalFormatting sqref="C6:F16">
    <x:cfRule type="expression" dxfId="2" priority="1">
      <x:formula>AND($B6="工讀",OR($C6&lt;16,$C6&gt;40))</x:formula>
    </x:cfRule>
  </x:conditionalFormatting>
  <x:conditionalFormatting sqref="I6:I16">
    <x:cfRule type="expression" dxfId="3" priority="2">
      <x:formula>OR(AND($B6="工讀",$I6&gt;=6),AND(OR($B6="店長",$B6="正職"),$I6&gt;=7))</x:formula>
    </x:cfRule>
  </x:conditionalFormatting>
  <x:conditionalFormatting sqref="E6:E16">
    <x:cfRule type="expression" dxfId="4" priority="3">
      <x:formula>OR(AND($B6="工讀",$E6&lt;2),AND(OR($B6="店長",$B6="正職"),$E6&lt;2))</x:formula>
    </x:cfRule>
  </x:conditionalFormatting>
  <x:conditionalFormatting sqref="D16:E16">
    <x:cfRule type="expression" dxfId="5" priority="4">
      <x:formula>$D16&gt;4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65" hidden="0" customWidth="1"/>
    <x:col min="4" max="4" width="74" hidden="0" customWidth="1"/>
  </x:cols>
  <x:sheetData>
    <x:row r="1" ht="38" customHeight="1">
      <x:c r="A1" s="4" t="str">
        <x:v>試排說明｜可用部分與未決事項</x:v>
      </x:c>
      <x:c r="B1" s="4"/>
      <x:c r="C1" s="4"/>
      <x:c r="D1" s="4"/>
    </x:row>
    <x:row r="2" ht="23" customHeight="1">
      <x:c r="A2" s="7" t="str">
        <x:v>本檔依 restaurant-roster 的最新已確認規則重新試排；不改原參考範本，也不當作核定月班。</x:v>
      </x:c>
      <x:c r="B2" s="7"/>
      <x:c r="C2" s="7"/>
      <x:c r="D2" s="7"/>
    </x:row>
    <x:row r="3" ht="23" customHeight="1">
      <x:c r="A3" s="7"/>
      <x:c r="B3" s="7"/>
      <x:c r="C3" s="7"/>
      <x:c r="D3" s="7"/>
    </x:row>
    <x:row r="4" ht="24" customHeight="1">
      <x:c r="A4" s="2"/>
      <x:c r="B4" s="2"/>
      <x:c r="C4" s="2"/>
      <x:c r="D4" s="2"/>
    </x:row>
    <x:row r="5" ht="30" customHeight="1">
      <x:c r="A5" s="10" t="str">
        <x:v>分類</x:v>
      </x:c>
      <x:c r="B5" s="10" t="str">
        <x:v>項目</x:v>
      </x:c>
      <x:c r="C5" s="10" t="str">
        <x:v>本次處理</x:v>
      </x:c>
      <x:c r="D5" s="10" t="str">
        <x:v>需要的確認／來源</x:v>
      </x:c>
    </x:row>
    <x:row r="6" ht="53" customHeight="1">
      <x:c r="A6" s="11" t="str">
        <x:v>範圍</x:v>
      </x:c>
      <x:c r="B6" s="11" t="str">
        <x:v>2026/9/14～9/20</x:v>
      </x:c>
      <x:c r="C6" s="11" t="str">
        <x:v>週一至日；暫按 9/14–18 平日、9/19–20 假日需求</x:v>
      </x:c>
      <x:c r="D6" s="11" t="str">
        <x:v>未提供特殊活動／個別假日調移；若有需重排</x:v>
      </x:c>
    </x:row>
    <x:row r="7" ht="53" customHeight="1">
      <x:c r="A7" s="11" t="str">
        <x:v>正職</x:v>
      </x:c>
      <x:c r="B7" s="11" t="str">
        <x:v>排班優先與連上限制</x:v>
      </x:c>
      <x:c r="C7" s="11" t="str">
        <x:v>能力及可排時間相同時先排正職；本週Meryl、Tom、Emma各40小時、各休2天</x:v>
      </x:c>
      <x:c r="D7" s="11" t="str">
        <x:v>9/13已接續檢查；9/21後與完整月班仍待提供</x:v>
      </x:c>
    </x:row>
    <x:row r="8" ht="53" customHeight="1">
      <x:c r="A8" s="11" t="str">
        <x:v>休息</x:v>
      </x:c>
      <x:c r="B8" s="11" t="str">
        <x:v>12–22整天班</x:v>
      </x:c>
      <x:c r="C8" s="11" t="str">
        <x:v>本週每日最多1位，均預排16–18連續休息</x:v>
      </x:c>
      <x:c r="D8" s="11" t="str">
        <x:v>9/12兩人特例不延伸至本週</x:v>
      </x:c>
    </x:row>
    <x:row r="9" ht="53" customHeight="1">
      <x:c r="A9" s="11" t="str">
        <x:v>待核定</x:v>
      </x:c>
      <x:c r="B9" s="11" t="str">
        <x:v>Keanu 9/19晚班</x:v>
      </x:c>
      <x:c r="C9" s="11" t="str">
        <x:v>17–22，建議20:30–21休0.5，預估4.5小時</x:v>
      </x:c>
      <x:c r="D9" s="11" t="str">
        <x:v>這是草案休息建議，不代表已核定實際休息</x:v>
      </x:c>
    </x:row>
    <x:row r="10" ht="53" customHeight="1">
      <x:c r="A10" s="11" t="str">
        <x:v>休息</x:v>
      </x:c>
      <x:c r="B10" s="11" t="str">
        <x:v>整天班放休</x:v>
      </x:c>
      <x:c r="C10" s="11" t="str">
        <x:v>休息仍須安排；實際順序可由主管依現場調整</x:v>
      </x:c>
      <x:c r="D10" s="11" t="str">
        <x:v>休息、離峰與收店的分時差異只作營運參考</x:v>
      </x:c>
    </x:row>
    <x:row r="11" ht="53" customHeight="1">
      <x:c r="A11" s="11" t="str">
        <x:v>餐期</x:v>
      </x:c>
      <x:c r="B11" s="11" t="str">
        <x:v>缺口區間</x:v>
      </x:c>
      <x:c r="C11" s="11" t="str">
        <x:v>午餐11:00～16:00；晚餐16:00～21:00，按排定人員與主崗能力判定</x:v>
      </x:c>
      <x:c r="D11" s="11" t="str">
        <x:v>主表只以餐期人數與主要崗位作正式缺口判定</x:v>
      </x:c>
    </x:row>
    <x:row r="12" ht="53" customHeight="1">
      <x:c r="A12" s="11" t="str">
        <x:v>崗位</x:v>
      </x:c>
      <x:c r="B12" s="11" t="str">
        <x:v>司爐＋料區</x:v>
      </x:c>
      <x:c r="C12" s="11" t="str">
        <x:v>表示同一人具備兩項能力，不是正式複合崗位；顯示時只指派一個主崗</x:v>
      </x:c>
      <x:c r="D12" s="11" t="str">
        <x:v>平日午餐兩位內場須合計涵蓋司爐、料區、炸區能力</x:v>
      </x:c>
    </x:row>
    <x:row r="13" ht="53" customHeight="1">
      <x:c r="A13" s="11" t="str">
        <x:v>工讀</x:v>
      </x:c>
      <x:c r="B13" s="11" t="str">
        <x:v>工時公平</x:v>
      </x:c>
      <x:c r="C13" s="11" t="str">
        <x:v>本週介於20～24小時，最高與最低相差4小時</x:v>
      </x:c>
      <x:c r="D13" s="11" t="str">
        <x:v>先滿足可排時間、餐期崗位、週末整天班及休假限制，再縮小差距</x:v>
      </x:c>
    </x:row>
    <x:row r="14" ht="53" customHeight="1">
      <x:c r="A14" s="11" t="str">
        <x:v>工讀</x:v>
      </x:c>
      <x:c r="B14" s="11" t="str">
        <x:v>Brad的週末選擇</x:v>
      </x:c>
      <x:c r="C14" s="11" t="str">
        <x:v>本週選擇週日整天，週六未排</x:v>
      </x:c>
      <x:c r="D14" s="11" t="str">
        <x:v>符合六日擇一</x:v>
      </x:c>
    </x:row>
    <x:row r="15" ht="53" customHeight="1">
      <x:c r="A15" s="11" t="str">
        <x:v>資料</x:v>
      </x:c>
      <x:c r="B15" s="11" t="str">
        <x:v>Leo本週給班</x:v>
      </x:c>
      <x:c r="C15" s="11" t="str">
        <x:v>週一、五排休；週三、四晚班；週六整天；週日12–18</x:v>
      </x:c>
      <x:c r="D15" s="11" t="str">
        <x:v>週二11–17可排但本草案未選用</x:v>
      </x:c>
    </x:row>
    <x:row r="16" ht="53" customHeight="1">
      <x:c r="A16" s="11" t="str">
        <x:v>跨週</x:v>
      </x:c>
      <x:c r="B16" s="11" t="str">
        <x:v>週界與歷史</x:v>
      </x:c>
      <x:c r="C16" s="11" t="str">
        <x:v>主統計週一至日；已接續上一版9/13實際預排資料</x:v>
      </x:c>
      <x:c r="D16" s="11" t="str">
        <x:v>可檢查至9/19；9/21後仍未知</x:v>
      </x:c>
    </x:row>
    <x:row r="17" ht="53" customHeight="1">
      <x:c r="A17" s="11" t="str">
        <x:v>制度</x:v>
      </x:c>
      <x:c r="B17" s="11" t="str">
        <x:v>四週及月休</x:v>
      </x:c>
      <x:c r="C17" s="11" t="str">
        <x:v>原本即四週制；每日整天淨工時8小時</x:v>
      </x:c>
      <x:c r="D17" s="11" t="str">
        <x:v>週期起點／完整月班／例假休息日分類未提供，待核對</x:v>
      </x:c>
    </x:row>
    <x:row r="18" ht="53" customHeight="1">
      <x:c r="A18" s="11" t="str">
        <x:v>資料</x:v>
      </x:c>
      <x:c r="B18" s="11" t="str">
        <x:v>Keanu非給班日</x:v>
      </x:c>
      <x:c r="C18" s="11" t="str">
        <x:v>週一、二、五未列於本週可給班時段，顯示未排（非給班）</x:v>
      </x:c>
      <x:c r="D18" s="11" t="str">
        <x:v>週三可排但本草案未選用</x:v>
      </x:c>
    </x:row>
    <x:row r="19" ht="53" customHeight="1">
      <x:c r="A19" s="11" t="str">
        <x:v>能力</x:v>
      </x:c>
      <x:c r="B19" s="11" t="str">
        <x:v>Keanu控台</x:v>
      </x:c>
      <x:c r="C19" s="11" t="str">
        <x:v>Keanu暫只分外場／吧台</x:v>
      </x:c>
      <x:c r="D19" s="11" t="str">
        <x:v>控台是否等同正式崗位控場仍待確認</x:v>
      </x:c>
    </x:row>
    <x:row r="20" ht="53" customHeight="1">
      <x:c r="A20" s="11" t="str">
        <x:v>營運</x:v>
      </x:c>
      <x:c r="B20" s="11" t="str">
        <x:v>分時差異</x:v>
      </x:c>
      <x:c r="C20" s="11" t="str">
        <x:v>離峰、休息交接及收店缺額／超額不觸發重排</x:v>
      </x:c>
      <x:c r="D20" s="11" t="str">
        <x:v>主管依現場營運協調支援與收店分工</x:v>
      </x:c>
    </x:row>
    <x:row r="21" ht="53" customHeight="1">
      <x:c r="A21" s="11" t="str">
        <x:v>批註</x:v>
      </x:c>
      <x:c r="B21" s="11" t="str">
        <x:v>9/17Brad中班</x:v>
      </x:c>
      <x:c r="C21" s="11" t="str">
        <x:v>依指定改為12:00–18:00、主崗炸區；午晚餐期各多1人</x:v>
      </x:c>
      <x:c r="D21" s="11" t="str">
        <x:v>多餘人數不另調整，由主管現場安排</x:v>
      </x:c>
    </x:row>
    <x:row r="22" ht="53" customHeight="1">
      <x:c r="A22" s="11" t="str">
        <x:v>操作</x:v>
      </x:c>
      <x:c r="B22" s="11" t="str">
        <x:v>修改班表</x:v>
      </x:c>
      <x:c r="C22" s="11" t="str">
        <x:v>班次明細 G:J 可改時間；分時人力會重算</x:v>
      </x:c>
      <x:c r="D22" s="11" t="str">
        <x:v>尖峰主崗不會自動最佳化重排；資料變動後請重新試排</x:v>
      </x:c>
    </x:row>
    <x:row r="23" ht="53" customHeight="1">
      <x:c r="A23" s="11" t="str">
        <x:v>出勤</x:v>
      </x:c>
      <x:c r="B23" s="11" t="str">
        <x:v>預排與實際</x:v>
      </x:c>
      <x:c r="C23" s="11" t="str">
        <x:v>全部是預估工時，未填任何實際出勤或扣薪</x:v>
      </x:c>
      <x:c r="D23" s="11" t="str">
        <x:v>提前下班按實際紀錄另算；本檔不決定薪資</x:v>
      </x:c>
    </x:row>
    <x:row r="24" ht="53" customHeight="1">
      <x:c r="A24" s="11" t="str">
        <x:v>來源</x:v>
      </x:c>
      <x:c r="B24" s="11" t="str">
        <x:v>文字給班與參考表</x:v>
      </x:c>
      <x:c r="C24" s="11" t="str">
        <x:v>本任務已確認資料；2021.03 的副本.xlsx 僅參考版面</x:v>
      </x:c>
      <x:c r="D24" s="11" t="str">
        <x:v>未沿用歷史人員／班次／崗位技能</x:v>
      </x:c>
    </x:row>
    <x:row r="25" ht="53" customHeight="1">
      <x:c r="A25" s="11" t="str">
        <x:v>官方</x:v>
      </x:c>
      <x:c r="B25" s="11" t="str">
        <x:v>連續工作休息</x:v>
      </x:c>
      <x:c r="C25" s="11" t="str">
        <x:v>查核日期2026-09-03；一般4小時至少連續休30分鐘</x:v>
      </x:c>
      <x:c r="D25" s="11" t="str">
        <x:v>https://www.mol.gov.tw/1607/28162/28166/28218/28226/81476/post</x:v>
      </x:c>
    </x:row>
    <x:row r="26" ht="53" customHeight="1">
      <x:c r="A26" s="11" t="str">
        <x:v>官方</x:v>
      </x:c>
      <x:c r="B26" s="11" t="str">
        <x:v>四週例假與休息日</x:v>
      </x:c>
      <x:c r="C26" s="11" t="str">
        <x:v>查核日期2026-09-03；兩週例假2日、四週合計8日</x:v>
      </x:c>
      <x:c r="D26" s="11" t="str">
        <x:v>https://www.mol.gov.tw/1607/28690/2282/2284/2292/7248/</x:v>
      </x:c>
    </x:row>
    <x:row r="27" ht="53" customHeight="1">
      <x:c r="A27" s="11" t="str">
        <x:v>官方</x:v>
      </x:c>
      <x:c r="B27" s="11" t="str">
        <x:v>國定假日</x:v>
      </x:c>
      <x:c r="C27" s="11" t="str">
        <x:v>假別需與實際排班／調移紀錄核對</x:v>
      </x:c>
      <x:c r="D27" s="11" t="str">
        <x:v>https://www.mol.gov.tw/1607/28162/28166/28218/28226/81488/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5" hidden="0" customWidth="1"/>
  </x:cols>
  <x:sheetData>
    <x:row r="1" ht="38" customHeight="1">
      <x:c r="A1" s="4" t="str">
        <x:v>排班輸入｜需求與技能</x:v>
      </x:c>
      <x:c r="B1" s="4"/>
      <x:c r="C1" s="4"/>
    </x:row>
    <x:row r="2" ht="23" customHeight="1">
      <x:c r="A2" s="7" t="str">
        <x:v>餐期總人數、尖峰主要崗位與開店資格為正式驗收條件；其他分時差異只作營運參考。正式崗位只有七種。</x:v>
      </x:c>
      <x:c r="B2" s="7"/>
      <x:c r="C2" s="7"/>
    </x:row>
    <x:row r="3" ht="23" customHeight="1">
      <x:c r="A3" s="7"/>
      <x:c r="B3" s="7"/>
      <x:c r="C3" s="7"/>
    </x:row>
    <x:row r="4" ht="24" customHeight="1">
      <x:c r="A4" s="2"/>
      <x:c r="B4" s="2"/>
      <x:c r="C4" s="2"/>
    </x:row>
    <x:row r="5" ht="24" customHeight="1">
      <x:c r="A5" s="2" t="str">
        <x:v>參數</x:v>
      </x:c>
      <x:c r="B5" s="2" t="str">
        <x:v>值</x:v>
      </x:c>
      <x:c r="C5" s="2"/>
    </x:row>
    <x:row r="6" ht="24" customHeight="1">
      <x:c r="A6" s="2" t="str">
        <x:v>每日整天淨工時</x:v>
      </x:c>
      <x:c r="B6" s="2" t="n">
        <x:v>8</x:v>
      </x:c>
      <x:c r="C6" s="2"/>
    </x:row>
    <x:row r="7" ht="24" customHeight="1">
      <x:c r="A7" s="2" t="str">
        <x:v>工讀週最低工時</x:v>
      </x:c>
      <x:c r="B7" s="2" t="n">
        <x:v>16</x:v>
      </x:c>
      <x:c r="C7" s="2"/>
    </x:row>
    <x:row r="8" ht="24" customHeight="1">
      <x:c r="A8" s="2" t="str">
        <x:v>半小時步長（小時）</x:v>
      </x:c>
      <x:c r="B8" s="2" t="n">
        <x:v>0.5</x:v>
      </x:c>
      <x:c r="C8" s="2"/>
    </x:row>
    <x:row r="9" ht="24" customHeight="1">
      <x:c r="A9" s="2" t="str">
        <x:v>Scarlett最多工作日（週一至日）</x:v>
      </x:c>
      <x:c r="B9" s="2" t="n">
        <x:v>4</x:v>
      </x:c>
      <x:c r="C9" s="2"/>
    </x:row>
    <x:row r="10" ht="24" customHeight="1">
      <x:c r="A10" s="2" t="str">
        <x:v>連續工作時段上限（小時）</x:v>
      </x:c>
      <x:c r="B10" s="2" t="n">
        <x:v>4</x:v>
      </x:c>
      <x:c r="C10" s="2"/>
    </x:row>
    <x:row r="11" ht="24" customHeight="1">
      <x:c r="A11" s="2" t="str">
        <x:v>小時／日</x:v>
      </x:c>
      <x:c r="B11" s="2" t="n">
        <x:v>24</x:v>
      </x:c>
      <x:c r="C11" s="2"/>
    </x:row>
    <x:row r="12" ht="24" customHeight="1">
      <x:c r="A12" s="2" t="str">
        <x:v>12–22一般每日人數上限</x:v>
      </x:c>
      <x:c r="B12" s="2" t="n">
        <x:v>1</x:v>
      </x:c>
      <x:c r="C12" s="2"/>
    </x:row>
    <x:row r="13" ht="24" customHeight="1">
      <x:c r="A13" s="2"/>
      <x:c r="B13" s="2"/>
      <x:c r="C13" s="2"/>
    </x:row>
    <x:row r="14" ht="24" customHeight="1">
      <x:c r="A14" s="2"/>
      <x:c r="B14" s="2"/>
      <x:c r="C14" s="2"/>
    </x:row>
    <x:row r="15" ht="30" customHeight="1">
      <x:c r="A15" s="10" t="str">
        <x:v>時段類型</x:v>
      </x:c>
      <x:c r="B15" s="10" t="str">
        <x:v>最低人數</x:v>
      </x:c>
      <x:c r="C15" s="10" t="str">
        <x:v>確認範圍</x:v>
      </x:c>
    </x:row>
    <x:row r="16" ht="24" customHeight="1">
      <x:c r="A16" s="2" t="str">
        <x:v>開店</x:v>
      </x:c>
      <x:c r="B16" s="2" t="str">
        <x:v>1（剛好）</x:v>
      </x:c>
      <x:c r="C16" s="2" t="str">
        <x:v>唯一合格開店者</x:v>
      </x:c>
    </x:row>
    <x:row r="17" ht="24" customHeight="1">
      <x:c r="A17" s="2" t="str">
        <x:v>平日午峰</x:v>
      </x:c>
      <x:c r="B17" s="2" t="str">
        <x:v>4（剛好）</x:v>
      </x:c>
      <x:c r="C17" s="2" t="str">
        <x:v>餐期總數＋主要崗位</x:v>
      </x:c>
    </x:row>
    <x:row r="18" ht="24" customHeight="1">
      <x:c r="A18" s="2" t="str">
        <x:v>平日晚峰</x:v>
      </x:c>
      <x:c r="B18" s="2" t="str">
        <x:v>週一至四5；週五6（剛好）</x:v>
      </x:c>
      <x:c r="C18" s="2" t="str">
        <x:v>餐期總數＋主要崗位</x:v>
      </x:c>
    </x:row>
    <x:row r="19" ht="24" customHeight="1">
      <x:c r="A19" s="2" t="str">
        <x:v>假日午峰</x:v>
      </x:c>
      <x:c r="B19" s="2" t="str">
        <x:v>6～7（7優先）</x:v>
      </x:c>
      <x:c r="C19" s="2" t="str">
        <x:v>餐期總數＋主要崗位</x:v>
      </x:c>
    </x:row>
    <x:row r="20" ht="24" customHeight="1">
      <x:c r="A20" s="2" t="str">
        <x:v>假日晚峰</x:v>
      </x:c>
      <x:c r="B20" s="2" t="str">
        <x:v>7（剛好）</x:v>
      </x:c>
      <x:c r="C20" s="2" t="str">
        <x:v>餐期總數＋主要崗位</x:v>
      </x:c>
    </x:row>
    <x:row r="21" ht="24" customHeight="1">
      <x:c r="A21" s="2" t="str">
        <x:v>平日離峰</x:v>
      </x:c>
      <x:c r="B21" s="2" t="n">
        <x:v>2</x:v>
      </x:c>
      <x:c r="C21" s="2" t="str">
        <x:v>營運參考／主管現場協調</x:v>
      </x:c>
    </x:row>
    <x:row r="22" ht="24" customHeight="1">
      <x:c r="A22" s="2" t="str">
        <x:v>假日離峰</x:v>
      </x:c>
      <x:c r="B22" s="2" t="n">
        <x:v>3</x:v>
      </x:c>
      <x:c r="C22" s="2" t="str">
        <x:v>營運參考／主管現場協調</x:v>
      </x:c>
    </x:row>
    <x:row r="23" ht="24" customHeight="1">
      <x:c r="A23" s="2" t="str">
        <x:v>平日收店20</x:v>
      </x:c>
      <x:c r="B23" s="2" t="n">
        <x:v>5</x:v>
      </x:c>
      <x:c r="C23" s="2" t="str">
        <x:v>營運參考／主管現場協調</x:v>
      </x:c>
    </x:row>
    <x:row r="24" ht="24" customHeight="1">
      <x:c r="A24" s="2" t="str">
        <x:v>假日收店20</x:v>
      </x:c>
      <x:c r="B24" s="2" t="n">
        <x:v>6</x:v>
      </x:c>
      <x:c r="C24" s="2" t="str">
        <x:v>營運參考／主管現場協調</x:v>
      </x:c>
    </x:row>
    <x:row r="25" ht="24" customHeight="1">
      <x:c r="A25" s="2" t="str">
        <x:v>平日收店21</x:v>
      </x:c>
      <x:c r="B25" s="2" t="n">
        <x:v>4</x:v>
      </x:c>
      <x:c r="C25" s="2" t="str">
        <x:v>營運參考／主管現場協調</x:v>
      </x:c>
    </x:row>
    <x:row r="26" ht="24" customHeight="1">
      <x:c r="A26" s="2" t="str">
        <x:v>假日收店21</x:v>
      </x:c>
      <x:c r="B26" s="2" t="n">
        <x:v>5</x:v>
      </x:c>
      <x:c r="C26" s="2" t="str">
        <x:v>營運參考／主管現場協調</x:v>
      </x:c>
    </x:row>
    <x:row r="27" ht="24" customHeight="1">
      <x:c r="A27" s="2" t="str">
        <x:v>假日收店2130</x:v>
      </x:c>
      <x:c r="B27" s="2" t="n">
        <x:v>4</x:v>
      </x:c>
      <x:c r="C27" s="2" t="str">
        <x:v>營運參考／主管現場協調</x:v>
      </x:c>
    </x:row>
    <x:row r="28" ht="24" customHeight="1">
      <x:c r="A28" s="2" t="str">
        <x:v>已結束</x:v>
      </x:c>
      <x:c r="B28" s="2" t="n">
        <x:v>0</x:v>
      </x:c>
      <x:c r="C28" s="2" t="str">
        <x:v>營運參考／主管現場協調</x:v>
      </x:c>
    </x:row>
    <x:row r="29" ht="24" customHeight="1">
      <x:c r="A29" s="2"/>
      <x:c r="B29" s="2"/>
      <x:c r="C29" s="2"/>
    </x:row>
    <x:row r="30" ht="24" customHeight="1">
      <x:c r="A30" s="2"/>
      <x:c r="B30" s="2"/>
      <x:c r="C30" s="2"/>
    </x:row>
    <x:row r="31" ht="24" customHeight="1">
      <x:c r="A31" s="11" t="str">
        <x:v>正式崗位：司爐、料區、炸區、拍區、控場、吧台、外場。「同時會司爐＋料區」是能力條件，不是複合崗位；主表每人每餐期只顯示一個正式主崗。開店、關帳、洗碗是工作事項。假日午餐若僅6人則不排控場；若有7人優先排控場。</x:v>
      </x:c>
      <x:c r="B31" s="11"/>
      <x:c r="C31" s="11"/>
    </x:row>
    <x:row r="32" ht="24" customHeight="1">
      <x:c r="A32" s="11"/>
      <x:c r="B32" s="11"/>
      <x:c r="C32" s="11"/>
    </x:row>
    <x:row r="33" ht="24" customHeight="1">
      <x:c r="A33" s="11"/>
      <x:c r="B33" s="11"/>
      <x:c r="C33" s="11"/>
    </x:row>
    <x:row r="34" ht="24" customHeight="1">
      <x:c r="A34" s="11"/>
      <x:c r="B34" s="11"/>
      <x:c r="C34" s="11"/>
    </x:row>
    <x:row r="35" ht="24" customHeight="1">
      <x:c r="A35" s="11"/>
      <x:c r="B35" s="11"/>
      <x:c r="C35" s="11"/>
    </x:row>
    <x:row r="36" ht="24" customHeight="1">
      <x:c r="A36" s="11"/>
      <x:c r="B36" s="11"/>
      <x:c r="C36" s="11"/>
    </x:row>
    <x:row r="37" ht="24" customHeight="1">
      <x:c r="A37" s="11"/>
      <x:c r="B37" s="11"/>
      <x:c r="C37" s="11"/>
    </x:row>
    <x:row r="38" ht="24" customHeight="1">
      <x:c r="A38" s="11"/>
      <x:c r="B38" s="11"/>
      <x:c r="C38" s="11"/>
    </x:row>
  </x:sheetData>
  <x:mergeCells>
    <x:mergeCell ref="A1:C1"/>
    <x:mergeCell ref="A2:C3"/>
    <x:mergeCell ref="A31:C3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45C5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6.400000095367432" hidden="0" customWidth="1"/>
    <x:col min="4" max="4" width="6.400000095367432" hidden="0" customWidth="1"/>
    <x:col min="5" max="5" width="6.400000095367432" hidden="0" customWidth="1"/>
    <x:col min="6" max="6" width="6.400000095367432" hidden="0" customWidth="1"/>
    <x:col min="7" max="7" width="6.400000095367432" hidden="0" customWidth="1"/>
    <x:col min="8" max="8" width="6.400000095367432" hidden="0" customWidth="1"/>
    <x:col min="9" max="9" width="6.400000095367432" hidden="0" customWidth="1"/>
    <x:col min="10" max="10" width="6.400000095367432" hidden="0" customWidth="1"/>
    <x:col min="11" max="11" width="6.400000095367432" hidden="0" customWidth="1"/>
    <x:col min="12" max="12" width="6.400000095367432" hidden="0" customWidth="1"/>
    <x:col min="13" max="13" width="6.400000095367432" hidden="0" customWidth="1"/>
    <x:col min="14" max="14" width="6.400000095367432" hidden="0" customWidth="1"/>
    <x:col min="15" max="15" width="6.400000095367432" hidden="0" customWidth="1"/>
    <x:col min="16" max="16" width="6.400000095367432" hidden="0" customWidth="1"/>
    <x:col min="17" max="17" width="6.400000095367432" hidden="0" customWidth="1"/>
    <x:col min="18" max="18" width="6.400000095367432" hidden="0" customWidth="1"/>
    <x:col min="19" max="19" width="6.400000095367432" hidden="0" customWidth="1"/>
    <x:col min="20" max="20" width="6.400000095367432" hidden="0" customWidth="1"/>
    <x:col min="21" max="21" width="6.400000095367432" hidden="0" customWidth="1"/>
    <x:col min="22" max="22" width="6.400000095367432" hidden="0" customWidth="1"/>
    <x:col min="23" max="23" width="6.400000095367432" hidden="0" customWidth="1"/>
    <x:col min="24" max="24" width="6.400000095367432" hidden="0" customWidth="1"/>
    <x:col min="25" max="25" width="6.400000095367432" hidden="0" customWidth="1"/>
    <x:col min="26" max="26" width="6.400000095367432" hidden="0" customWidth="1"/>
    <x:col min="27" max="27" width="6.400000095367432" hidden="0" customWidth="1"/>
    <x:col min="28" max="28" width="6.400000095367432" hidden="0" customWidth="1"/>
    <x:col min="29" max="29" width="6.400000095367432" hidden="0" customWidth="1"/>
    <x:col min="30" max="30" width="6.400000095367432" hidden="0" customWidth="1"/>
    <x:col min="31" max="31" width="6.400000095367432" hidden="0" customWidth="1"/>
    <x:col min="32" max="32" width="6.400000095367432" hidden="0" customWidth="1"/>
    <x:col min="33" max="33" width="6.400000095367432" hidden="0" customWidth="1"/>
    <x:col min="34" max="34" width="12" hidden="0" customWidth="1"/>
    <x:col min="35" max="35" width="9" hidden="0" customWidth="1"/>
    <x:col min="36" max="36" width="12" hidden="0" customWidth="1"/>
    <x:col min="38" max="38" width="2.5" hidden="0" customWidth="1"/>
    <x:col min="39" max="39" width="2.5" hidden="0" customWidth="1"/>
    <x:col min="40" max="40" width="2.5" hidden="0" customWidth="1"/>
    <x:col min="41" max="41" width="2.5" hidden="0" customWidth="1"/>
    <x:col min="42" max="42" width="2.5" hidden="0" customWidth="1"/>
    <x:col min="43" max="43" width="2.5" hidden="0" customWidth="1"/>
    <x:col min="44" max="44" width="2.5" hidden="0" customWidth="1"/>
    <x:col min="45" max="45" width="2.5" hidden="0" customWidth="1"/>
    <x:col min="46" max="46" width="2.5" hidden="0" customWidth="1"/>
    <x:col min="47" max="47" width="2.5" hidden="0" customWidth="1"/>
    <x:col min="48" max="48" width="2.5" hidden="0" customWidth="1"/>
    <x:col min="49" max="49" width="2.5" hidden="0" customWidth="1"/>
    <x:col min="50" max="50" width="2.5" hidden="0" customWidth="1"/>
    <x:col min="51" max="51" width="2.5" hidden="0" customWidth="1"/>
    <x:col min="52" max="52" width="2.5" hidden="0" customWidth="1"/>
    <x:col min="53" max="53" width="2.5" hidden="0" customWidth="1"/>
    <x:col min="54" max="54" width="2.5" hidden="0" customWidth="1"/>
    <x:col min="55" max="55" width="2.5" hidden="0" customWidth="1"/>
    <x:col min="56" max="56" width="2.5" hidden="0" customWidth="1"/>
    <x:col min="57" max="57" width="2.5" hidden="0" customWidth="1"/>
    <x:col min="58" max="58" width="2.5" hidden="0" customWidth="1"/>
    <x:col min="59" max="59" width="2.5" hidden="0" customWidth="1"/>
    <x:col min="60" max="60" width="2.5" hidden="0" customWidth="1"/>
    <x:col min="61" max="61" width="2.5" hidden="0" customWidth="1"/>
    <x:col min="62" max="62" width="2.5" hidden="0" customWidth="1"/>
    <x:col min="63" max="63" width="2.5" hidden="0" customWidth="1"/>
    <x:col min="64" max="64" width="2.5" hidden="0" customWidth="1"/>
    <x:col min="65" max="65" width="2.5" hidden="0" customWidth="1"/>
    <x:col min="66" max="66" width="2.5" hidden="0" customWidth="1"/>
    <x:col min="67" max="67" width="2.5" hidden="0" customWidth="1"/>
    <x:col min="68" max="68" width="2.5" hidden="0" customWidth="1"/>
  </x:cols>
  <x:sheetData>
    <x:row r="1" ht="36" customHeight="1">
      <x:c r="A1" s="48" t="str">
        <x:v>整月工時表｜2026年9月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  <x:c r="AA1" s="48"/>
      <x:c r="AB1" s="48"/>
      <x:c r="AC1" s="48"/>
      <x:c r="AD1" s="48"/>
      <x:c r="AE1" s="48"/>
      <x:c r="AF1" s="48"/>
      <x:c r="AG1" s="48"/>
      <x:c r="AH1" s="48"/>
      <x:c r="AI1" s="48"/>
      <x:c r="AJ1" s="48"/>
      <x:c r="AL1" t="str">
        <x:v>內部淨工時計算區</x:v>
      </x:c>
    </x:row>
    <x:row r="2" ht="23" customHeight="1">
      <x:c r="A2" s="52" t="str">
        <x:v>月份：2026年9月</x:v>
      </x:c>
      <x:c r="B2" s="52"/>
      <x:c r="C2" s="52"/>
      <x:c r="D2" s="52"/>
      <x:c r="E2" s="52" t="str">
        <x:v>本月天數：30</x:v>
      </x:c>
      <x:c r="F2" s="52"/>
      <x:c r="G2" s="52"/>
      <x:c r="H2" s="52"/>
      <x:c r="I2" s="52" t="str">
        <x:f>"已匯入日數："&amp;COUNTIF(C7:AG7,"已確認")</x:f>
        <x:v>已匯入日數：0</x:v>
      </x:c>
      <x:c r="J2" s="52"/>
      <x:c r="K2" s="52"/>
      <x:c r="L2" s="52"/>
      <x:c r="M2" s="52"/>
      <x:c r="N2" s="52" t="str">
        <x:f>IF(COUNTIF(C7:AG7,"已確認")=30,"月表狀態：整月完成","月表狀態：待匯入")</x:f>
        <x:v>月表狀態：待匯入</x:v>
      </x:c>
      <x:c r="O2" s="52"/>
      <x:c r="P2" s="52"/>
      <x:c r="Q2" s="52"/>
      <x:c r="R2" s="52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4"/>
      <x:c r="AF2" s="44"/>
      <x:c r="AG2" s="44"/>
      <x:c r="AH2" s="44"/>
      <x:c r="AI2" s="44"/>
      <x:c r="AJ2" s="44"/>
      <x:c r="AL2" s="89"/>
      <x:c r="AM2" s="89"/>
      <x:c r="AN2" s="89"/>
      <x:c r="AO2" s="89"/>
      <x:c r="AP2" s="89"/>
      <x:c r="AQ2" s="89"/>
      <x:c r="AR2" s="89"/>
      <x:c r="AS2" s="89"/>
      <x:c r="AT2" s="89"/>
      <x:c r="AU2" s="89"/>
      <x:c r="AV2" s="89"/>
      <x:c r="AW2" s="89"/>
      <x:c r="AX2" s="89"/>
      <x:c r="AY2" s="89"/>
      <x:c r="AZ2" s="89"/>
      <x:c r="BA2" s="89"/>
      <x:c r="BB2" s="89"/>
      <x:c r="BC2" s="89"/>
      <x:c r="BD2" s="89"/>
      <x:c r="BE2" s="89"/>
      <x:c r="BF2" s="89"/>
      <x:c r="BG2" s="89"/>
      <x:c r="BH2" s="89"/>
      <x:c r="BI2" s="89"/>
      <x:c r="BJ2" s="89"/>
      <x:c r="BK2" s="89"/>
      <x:c r="BL2" s="89"/>
      <x:c r="BM2" s="89"/>
      <x:c r="BN2" s="89"/>
      <x:c r="BO2" s="89"/>
      <x:c r="BP2" s="89"/>
    </x:row>
    <x:row r="3" ht="25" customHeight="1">
      <x:c r="A3" s="53" t="str">
        <x:v>每日格顯示精簡班次（11:00～21:00＝11-21；11:30～21:30＝11.5-21.5）。空白＝尚未匯入；0＝已確認但未排班。月總仍按扣除休息後淨工時計算。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  <x:c r="AA3" s="53"/>
      <x:c r="AB3" s="53"/>
      <x:c r="AC3" s="53"/>
      <x:c r="AD3" s="53"/>
      <x:c r="AE3" s="53"/>
      <x:c r="AF3" s="53"/>
      <x:c r="AG3" s="53"/>
      <x:c r="AH3" s="53"/>
      <x:c r="AI3" s="53"/>
      <x:c r="AJ3" s="53"/>
      <x:c r="AL3" s="89"/>
      <x:c r="AM3" s="89"/>
      <x:c r="AN3" s="89"/>
      <x:c r="AO3" s="89"/>
      <x:c r="AP3" s="89"/>
      <x:c r="AQ3" s="89"/>
      <x:c r="AR3" s="89"/>
      <x:c r="AS3" s="89"/>
      <x:c r="AT3" s="89"/>
      <x:c r="AU3" s="89"/>
      <x:c r="AV3" s="89"/>
      <x:c r="AW3" s="89"/>
      <x:c r="AX3" s="89"/>
      <x:c r="AY3" s="89"/>
      <x:c r="AZ3" s="89"/>
      <x:c r="BA3" s="89"/>
      <x:c r="BB3" s="89"/>
      <x:c r="BC3" s="89"/>
      <x:c r="BD3" s="89"/>
      <x:c r="BE3" s="89"/>
      <x:c r="BF3" s="89"/>
      <x:c r="BG3" s="89"/>
      <x:c r="BH3" s="89"/>
      <x:c r="BI3" s="89"/>
      <x:c r="BJ3" s="89"/>
      <x:c r="BK3" s="89"/>
      <x:c r="BL3" s="89"/>
      <x:c r="BM3" s="89"/>
      <x:c r="BN3" s="89"/>
      <x:c r="BO3" s="89"/>
      <x:c r="BP3" s="89"/>
    </x:row>
    <x:row r="4" ht="23" customHeight="1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  <x:c r="AA4" s="44"/>
      <x:c r="AB4" s="44"/>
      <x:c r="AC4" s="44"/>
      <x:c r="AD4" s="44"/>
      <x:c r="AE4" s="44"/>
      <x:c r="AF4" s="44"/>
      <x:c r="AG4" s="44"/>
      <x:c r="AH4" s="44"/>
      <x:c r="AI4" s="44"/>
      <x:c r="AJ4" s="44"/>
      <x:c r="AL4" s="89"/>
      <x:c r="AM4" s="89"/>
      <x:c r="AN4" s="89"/>
      <x:c r="AO4" s="89"/>
      <x:c r="AP4" s="89"/>
      <x:c r="AQ4" s="89"/>
      <x:c r="AR4" s="89"/>
      <x:c r="AS4" s="89"/>
      <x:c r="AT4" s="89"/>
      <x:c r="AU4" s="89"/>
      <x:c r="AV4" s="89"/>
      <x:c r="AW4" s="89"/>
      <x:c r="AX4" s="89"/>
      <x:c r="AY4" s="89"/>
      <x:c r="AZ4" s="89"/>
      <x:c r="BA4" s="89"/>
      <x:c r="BB4" s="89"/>
      <x:c r="BC4" s="89"/>
      <x:c r="BD4" s="89"/>
      <x:c r="BE4" s="89"/>
      <x:c r="BF4" s="89"/>
      <x:c r="BG4" s="89"/>
      <x:c r="BH4" s="89"/>
      <x:c r="BI4" s="89"/>
      <x:c r="BJ4" s="89"/>
      <x:c r="BK4" s="89"/>
      <x:c r="BL4" s="89"/>
      <x:c r="BM4" s="89"/>
      <x:c r="BN4" s="89"/>
      <x:c r="BO4" s="89"/>
      <x:c r="BP4" s="89"/>
    </x:row>
    <x:row r="5" ht="23" customHeight="1">
      <x:c r="A5" s="57" t="str">
        <x:v>身分</x:v>
      </x:c>
      <x:c r="B5" s="57" t="str">
        <x:v>姓名</x:v>
      </x:c>
      <x:c r="C5" s="74" t="n">
        <x:v>46266</x:v>
      </x:c>
      <x:c r="D5" s="74" t="n">
        <x:v>46267</x:v>
      </x:c>
      <x:c r="E5" s="74" t="n">
        <x:v>46268</x:v>
      </x:c>
      <x:c r="F5" s="74" t="n">
        <x:v>46269</x:v>
      </x:c>
      <x:c r="G5" s="78" t="n">
        <x:v>46270</x:v>
      </x:c>
      <x:c r="H5" s="78" t="n">
        <x:v>46271</x:v>
      </x:c>
      <x:c r="I5" s="74" t="n">
        <x:v>46272</x:v>
      </x:c>
      <x:c r="J5" s="74" t="n">
        <x:v>46273</x:v>
      </x:c>
      <x:c r="K5" s="74" t="n">
        <x:v>46274</x:v>
      </x:c>
      <x:c r="L5" s="74" t="n">
        <x:v>46275</x:v>
      </x:c>
      <x:c r="M5" s="74" t="n">
        <x:v>46276</x:v>
      </x:c>
      <x:c r="N5" s="78" t="n">
        <x:v>46277</x:v>
      </x:c>
      <x:c r="O5" s="78" t="n">
        <x:v>46278</x:v>
      </x:c>
      <x:c r="P5" s="74" t="n">
        <x:v>46279</x:v>
      </x:c>
      <x:c r="Q5" s="74" t="n">
        <x:v>46280</x:v>
      </x:c>
      <x:c r="R5" s="74" t="n">
        <x:v>46281</x:v>
      </x:c>
      <x:c r="S5" s="74" t="n">
        <x:v>46282</x:v>
      </x:c>
      <x:c r="T5" s="74" t="n">
        <x:v>46283</x:v>
      </x:c>
      <x:c r="U5" s="78" t="n">
        <x:v>46284</x:v>
      </x:c>
      <x:c r="V5" s="78" t="n">
        <x:v>46285</x:v>
      </x:c>
      <x:c r="W5" s="74" t="n">
        <x:v>46286</x:v>
      </x:c>
      <x:c r="X5" s="74" t="n">
        <x:v>46287</x:v>
      </x:c>
      <x:c r="Y5" s="74" t="n">
        <x:v>46288</x:v>
      </x:c>
      <x:c r="Z5" s="74" t="n">
        <x:v>46289</x:v>
      </x:c>
      <x:c r="AA5" s="74" t="n">
        <x:v>46290</x:v>
      </x:c>
      <x:c r="AB5" s="78" t="n">
        <x:v>46291</x:v>
      </x:c>
      <x:c r="AC5" s="78" t="n">
        <x:v>46292</x:v>
      </x:c>
      <x:c r="AD5" s="74" t="n">
        <x:v>46293</x:v>
      </x:c>
      <x:c r="AE5" s="74" t="n">
        <x:v>46294</x:v>
      </x:c>
      <x:c r="AF5" s="74" t="n">
        <x:v>46295</x:v>
      </x:c>
      <x:c r="AG5" s="80"/>
      <x:c r="AH5" s="57" t="str">
        <x:v>月總工時</x:v>
      </x:c>
      <x:c r="AI5" s="57" t="str">
        <x:v>工作天</x:v>
      </x:c>
      <x:c r="AJ5" s="57" t="str">
        <x:v>資料狀態</x:v>
      </x:c>
      <x:c r="AL5" s="89" t="n">
        <x:v>1</x:v>
      </x:c>
      <x:c r="AM5" s="89" t="n">
        <x:v>2</x:v>
      </x:c>
      <x:c r="AN5" s="89" t="n">
        <x:v>3</x:v>
      </x:c>
      <x:c r="AO5" s="89" t="n">
        <x:v>4</x:v>
      </x:c>
      <x:c r="AP5" s="89" t="n">
        <x:v>5</x:v>
      </x:c>
      <x:c r="AQ5" s="89" t="n">
        <x:v>6</x:v>
      </x:c>
      <x:c r="AR5" s="89" t="n">
        <x:v>7</x:v>
      </x:c>
      <x:c r="AS5" s="89" t="n">
        <x:v>8</x:v>
      </x:c>
      <x:c r="AT5" s="89" t="n">
        <x:v>9</x:v>
      </x:c>
      <x:c r="AU5" s="89" t="n">
        <x:v>10</x:v>
      </x:c>
      <x:c r="AV5" s="89" t="n">
        <x:v>11</x:v>
      </x:c>
      <x:c r="AW5" s="89" t="n">
        <x:v>12</x:v>
      </x:c>
      <x:c r="AX5" s="89" t="n">
        <x:v>13</x:v>
      </x:c>
      <x:c r="AY5" s="89" t="n">
        <x:v>14</x:v>
      </x:c>
      <x:c r="AZ5" s="89" t="n">
        <x:v>15</x:v>
      </x:c>
      <x:c r="BA5" s="89" t="n">
        <x:v>16</x:v>
      </x:c>
      <x:c r="BB5" s="89" t="n">
        <x:v>17</x:v>
      </x:c>
      <x:c r="BC5" s="89" t="n">
        <x:v>18</x:v>
      </x:c>
      <x:c r="BD5" s="89" t="n">
        <x:v>19</x:v>
      </x:c>
      <x:c r="BE5" s="89" t="n">
        <x:v>20</x:v>
      </x:c>
      <x:c r="BF5" s="89" t="n">
        <x:v>21</x:v>
      </x:c>
      <x:c r="BG5" s="89" t="n">
        <x:v>22</x:v>
      </x:c>
      <x:c r="BH5" s="89" t="n">
        <x:v>23</x:v>
      </x:c>
      <x:c r="BI5" s="89" t="n">
        <x:v>24</x:v>
      </x:c>
      <x:c r="BJ5" s="89" t="n">
        <x:v>25</x:v>
      </x:c>
      <x:c r="BK5" s="89" t="n">
        <x:v>26</x:v>
      </x:c>
      <x:c r="BL5" s="89" t="n">
        <x:v>27</x:v>
      </x:c>
      <x:c r="BM5" s="89" t="n">
        <x:v>28</x:v>
      </x:c>
      <x:c r="BN5" s="89" t="n">
        <x:v>29</x:v>
      </x:c>
      <x:c r="BO5" s="89" t="n">
        <x:v>30</x:v>
      </x:c>
      <x:c r="BP5" s="89"/>
    </x:row>
    <x:row r="6" ht="23" customHeight="1">
      <x:c r="A6" s="57"/>
      <x:c r="B6" s="57"/>
      <x:c r="C6" s="57" t="str">
        <x:v>二</x:v>
      </x:c>
      <x:c r="D6" s="57" t="str">
        <x:v>三</x:v>
      </x:c>
      <x:c r="E6" s="57" t="str">
        <x:v>四</x:v>
      </x:c>
      <x:c r="F6" s="57" t="str">
        <x:v>五</x:v>
      </x:c>
      <x:c r="G6" s="79" t="str">
        <x:v>六</x:v>
      </x:c>
      <x:c r="H6" s="79" t="str">
        <x:v>日</x:v>
      </x:c>
      <x:c r="I6" s="57" t="str">
        <x:v>一</x:v>
      </x:c>
      <x:c r="J6" s="57" t="str">
        <x:v>二</x:v>
      </x:c>
      <x:c r="K6" s="57" t="str">
        <x:v>三</x:v>
      </x:c>
      <x:c r="L6" s="57" t="str">
        <x:v>四</x:v>
      </x:c>
      <x:c r="M6" s="57" t="str">
        <x:v>五</x:v>
      </x:c>
      <x:c r="N6" s="79" t="str">
        <x:v>六</x:v>
      </x:c>
      <x:c r="O6" s="79" t="str">
        <x:v>日</x:v>
      </x:c>
      <x:c r="P6" s="57" t="str">
        <x:v>一</x:v>
      </x:c>
      <x:c r="Q6" s="57" t="str">
        <x:v>二</x:v>
      </x:c>
      <x:c r="R6" s="57" t="str">
        <x:v>三</x:v>
      </x:c>
      <x:c r="S6" s="57" t="str">
        <x:v>四</x:v>
      </x:c>
      <x:c r="T6" s="57" t="str">
        <x:v>五</x:v>
      </x:c>
      <x:c r="U6" s="79" t="str">
        <x:v>六</x:v>
      </x:c>
      <x:c r="V6" s="79" t="str">
        <x:v>日</x:v>
      </x:c>
      <x:c r="W6" s="57" t="str">
        <x:v>一</x:v>
      </x:c>
      <x:c r="X6" s="57" t="str">
        <x:v>二</x:v>
      </x:c>
      <x:c r="Y6" s="57" t="str">
        <x:v>三</x:v>
      </x:c>
      <x:c r="Z6" s="57" t="str">
        <x:v>四</x:v>
      </x:c>
      <x:c r="AA6" s="57" t="str">
        <x:v>五</x:v>
      </x:c>
      <x:c r="AB6" s="79" t="str">
        <x:v>六</x:v>
      </x:c>
      <x:c r="AC6" s="79" t="str">
        <x:v>日</x:v>
      </x:c>
      <x:c r="AD6" s="57" t="str">
        <x:v>一</x:v>
      </x:c>
      <x:c r="AE6" s="57" t="str">
        <x:v>二</x:v>
      </x:c>
      <x:c r="AF6" s="57" t="str">
        <x:v>三</x:v>
      </x:c>
      <x:c r="AG6" s="81" t="str">
        <x:v>—</x:v>
      </x:c>
      <x:c r="AH6" s="57"/>
      <x:c r="AI6" s="57"/>
      <x:c r="AJ6" s="57"/>
      <x:c r="AL6" s="89"/>
      <x:c r="AM6" s="89"/>
      <x:c r="AN6" s="89"/>
      <x:c r="AO6" s="89"/>
      <x:c r="AP6" s="89"/>
      <x:c r="AQ6" s="89"/>
      <x:c r="AR6" s="89"/>
      <x:c r="AS6" s="89"/>
      <x:c r="AT6" s="89"/>
      <x:c r="AU6" s="89"/>
      <x:c r="AV6" s="89"/>
      <x:c r="AW6" s="89"/>
      <x:c r="AX6" s="89"/>
      <x:c r="AY6" s="89"/>
      <x:c r="AZ6" s="89"/>
      <x:c r="BA6" s="89"/>
      <x:c r="BB6" s="89"/>
      <x:c r="BC6" s="89"/>
      <x:c r="BD6" s="89"/>
      <x:c r="BE6" s="89"/>
      <x:c r="BF6" s="89"/>
      <x:c r="BG6" s="89"/>
      <x:c r="BH6" s="89"/>
      <x:c r="BI6" s="89"/>
      <x:c r="BJ6" s="89"/>
      <x:c r="BK6" s="89"/>
      <x:c r="BL6" s="89"/>
      <x:c r="BM6" s="89"/>
      <x:c r="BN6" s="89"/>
      <x:c r="BO6" s="89"/>
      <x:c r="BP6" s="89"/>
    </x:row>
    <x:row r="7" ht="23" customHeight="1">
      <x:c r="A7" s="57"/>
      <x:c r="B7" s="57"/>
      <x:c r="C7" s="75" t="str">
        <x:v>待匯入</x:v>
      </x:c>
      <x:c r="D7" s="75" t="str">
        <x:v>待匯入</x:v>
      </x:c>
      <x:c r="E7" s="75" t="str">
        <x:v>待匯入</x:v>
      </x:c>
      <x:c r="F7" s="75" t="str">
        <x:v>待匯入</x:v>
      </x:c>
      <x:c r="G7" s="75" t="str">
        <x:v>待匯入</x:v>
      </x:c>
      <x:c r="H7" s="75" t="str">
        <x:v>待匯入</x:v>
      </x:c>
      <x:c r="I7" s="75" t="str">
        <x:v>待匯入</x:v>
      </x:c>
      <x:c r="J7" s="75" t="str">
        <x:v>待匯入</x:v>
      </x:c>
      <x:c r="K7" s="75" t="str">
        <x:v>待匯入</x:v>
      </x:c>
      <x:c r="L7" s="75" t="str">
        <x:v>待匯入</x:v>
      </x:c>
      <x:c r="M7" s="75" t="str">
        <x:v>待匯入</x:v>
      </x:c>
      <x:c r="N7" s="75" t="str">
        <x:v>待匯入</x:v>
      </x:c>
      <x:c r="O7" s="75" t="str">
        <x:v>待匯入</x:v>
      </x:c>
      <x:c r="P7" s="75" t="str">
        <x:v>待匯入</x:v>
      </x:c>
      <x:c r="Q7" s="75" t="str">
        <x:v>待匯入</x:v>
      </x:c>
      <x:c r="R7" s="75" t="str">
        <x:v>待匯入</x:v>
      </x:c>
      <x:c r="S7" s="75" t="str">
        <x:v>待匯入</x:v>
      </x:c>
      <x:c r="T7" s="75" t="str">
        <x:v>待匯入</x:v>
      </x:c>
      <x:c r="U7" s="75" t="str">
        <x:v>待匯入</x:v>
      </x:c>
      <x:c r="V7" s="75" t="str">
        <x:v>待匯入</x:v>
      </x:c>
      <x:c r="W7" s="75" t="str">
        <x:v>待匯入</x:v>
      </x:c>
      <x:c r="X7" s="75" t="str">
        <x:v>待匯入</x:v>
      </x:c>
      <x:c r="Y7" s="75" t="str">
        <x:v>待匯入</x:v>
      </x:c>
      <x:c r="Z7" s="75" t="str">
        <x:v>待匯入</x:v>
      </x:c>
      <x:c r="AA7" s="75" t="str">
        <x:v>待匯入</x:v>
      </x:c>
      <x:c r="AB7" s="75" t="str">
        <x:v>待匯入</x:v>
      </x:c>
      <x:c r="AC7" s="75" t="str">
        <x:v>待匯入</x:v>
      </x:c>
      <x:c r="AD7" s="75" t="str">
        <x:v>待匯入</x:v>
      </x:c>
      <x:c r="AE7" s="75" t="str">
        <x:v>待匯入</x:v>
      </x:c>
      <x:c r="AF7" s="75" t="str">
        <x:v>待匯入</x:v>
      </x:c>
      <x:c r="AG7" s="82" t="str">
        <x:v>不適用</x:v>
      </x:c>
      <x:c r="AH7" s="57"/>
      <x:c r="AI7" s="57"/>
      <x:c r="AJ7" s="57"/>
      <x:c r="AL7" s="89"/>
      <x:c r="AM7" s="89"/>
      <x:c r="AN7" s="89"/>
      <x:c r="AO7" s="89"/>
      <x:c r="AP7" s="89"/>
      <x:c r="AQ7" s="89"/>
      <x:c r="AR7" s="89"/>
      <x:c r="AS7" s="89"/>
      <x:c r="AT7" s="89"/>
      <x:c r="AU7" s="89"/>
      <x:c r="AV7" s="89"/>
      <x:c r="AW7" s="89"/>
      <x:c r="AX7" s="89"/>
      <x:c r="AY7" s="89"/>
      <x:c r="AZ7" s="89"/>
      <x:c r="BA7" s="89"/>
      <x:c r="BB7" s="89"/>
      <x:c r="BC7" s="89"/>
      <x:c r="BD7" s="89"/>
      <x:c r="BE7" s="89"/>
      <x:c r="BF7" s="89"/>
      <x:c r="BG7" s="89"/>
      <x:c r="BH7" s="89"/>
      <x:c r="BI7" s="89"/>
      <x:c r="BJ7" s="89"/>
      <x:c r="BK7" s="89"/>
      <x:c r="BL7" s="89"/>
      <x:c r="BM7" s="89"/>
      <x:c r="BN7" s="89"/>
      <x:c r="BO7" s="89"/>
      <x:c r="BP7" s="89"/>
    </x:row>
    <x:row r="8" ht="23" customHeight="1">
      <x:c r="A8" s="59" t="str">
        <x:v>店長</x:v>
      </x:c>
      <x:c r="B8" s="59" t="str">
        <x:v>Meryl</x:v>
      </x:c>
      <x:c r="C8" s="87"/>
      <x:c r="D8" s="87"/>
      <x:c r="E8" s="87"/>
      <x:c r="F8" s="87"/>
      <x:c r="G8" s="87"/>
      <x:c r="H8" s="87"/>
      <x:c r="I8" s="87"/>
      <x:c r="J8" s="87"/>
      <x:c r="K8" s="87"/>
      <x:c r="L8" s="87"/>
      <x:c r="M8" s="87"/>
      <x:c r="N8" s="87"/>
      <x:c r="O8" s="87"/>
      <x:c r="P8" s="87"/>
      <x:c r="Q8" s="87"/>
      <x:c r="R8" s="87"/>
      <x:c r="S8" s="87"/>
      <x:c r="T8" s="87"/>
      <x:c r="U8" s="87"/>
      <x:c r="V8" s="87"/>
      <x:c r="W8" s="87"/>
      <x:c r="X8" s="87"/>
      <x:c r="Y8" s="87"/>
      <x:c r="Z8" s="87"/>
      <x:c r="AA8" s="87"/>
      <x:c r="AB8" s="87"/>
      <x:c r="AC8" s="87"/>
      <x:c r="AD8" s="87"/>
      <x:c r="AE8" s="87"/>
      <x:c r="AF8" s="87"/>
      <x:c r="AG8" s="88"/>
      <x:c r="AH8" s="61" t="str">
        <x:f>IF(COUNT(AL8:BP8)=0,"",SUM(AL8:BP8))</x:f>
      </x:c>
      <x:c r="AI8" s="62" t="str">
        <x:f>IF(COUNT(AL8:BP8)=0,"",COUNTIF(AL8:BP8,"&gt;0"))</x:f>
      </x:c>
      <x:c r="AJ8" s="50" t="str">
        <x:f>IF(COUNT(AL8:BP8)=0,"待匯入",IF(COUNT(AL8:BP8)=COUNT(C$5:AG$5),"完整","部分匯入"))</x:f>
        <x:v>待匯入</x:v>
      </x:c>
      <x:c r="AL8" s="89"/>
      <x:c r="AM8" s="89"/>
      <x:c r="AN8" s="89"/>
      <x:c r="AO8" s="89"/>
      <x:c r="AP8" s="89"/>
      <x:c r="AQ8" s="89"/>
      <x:c r="AR8" s="89"/>
      <x:c r="AS8" s="89"/>
      <x:c r="AT8" s="89"/>
      <x:c r="AU8" s="89"/>
      <x:c r="AV8" s="89"/>
      <x:c r="AW8" s="89"/>
      <x:c r="AX8" s="89"/>
      <x:c r="AY8" s="89"/>
      <x:c r="AZ8" s="89"/>
      <x:c r="BA8" s="89"/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89"/>
    </x:row>
    <x:row r="9" ht="23" customHeight="1">
      <x:c r="A9" s="59" t="str">
        <x:v>正職</x:v>
      </x:c>
      <x:c r="B9" s="59" t="str">
        <x:v>Tom</x:v>
      </x:c>
      <x:c r="C9" s="87"/>
      <x:c r="D9" s="87"/>
      <x:c r="E9" s="87"/>
      <x:c r="F9" s="87"/>
      <x:c r="G9" s="87"/>
      <x:c r="H9" s="87"/>
      <x:c r="I9" s="87"/>
      <x:c r="J9" s="87"/>
      <x:c r="K9" s="87"/>
      <x:c r="L9" s="87"/>
      <x:c r="M9" s="87"/>
      <x:c r="N9" s="87"/>
      <x:c r="O9" s="87"/>
      <x:c r="P9" s="87"/>
      <x:c r="Q9" s="87"/>
      <x:c r="R9" s="87"/>
      <x:c r="S9" s="87"/>
      <x:c r="T9" s="87"/>
      <x:c r="U9" s="87"/>
      <x:c r="V9" s="87"/>
      <x:c r="W9" s="87"/>
      <x:c r="X9" s="87"/>
      <x:c r="Y9" s="87"/>
      <x:c r="Z9" s="87"/>
      <x:c r="AA9" s="87"/>
      <x:c r="AB9" s="87"/>
      <x:c r="AC9" s="87"/>
      <x:c r="AD9" s="87"/>
      <x:c r="AE9" s="87"/>
      <x:c r="AF9" s="87"/>
      <x:c r="AG9" s="88"/>
      <x:c r="AH9" s="61" t="str">
        <x:f>IF(COUNT(AL9:BP9)=0,"",SUM(AL9:BP9))</x:f>
      </x:c>
      <x:c r="AI9" s="62" t="str">
        <x:f>IF(COUNT(AL9:BP9)=0,"",COUNTIF(AL9:BP9,"&gt;0"))</x:f>
      </x:c>
      <x:c r="AJ9" s="50" t="str">
        <x:f>IF(COUNT(AL9:BP9)=0,"待匯入",IF(COUNT(AL9:BP9)=COUNT(C$5:AG$5),"完整","部分匯入"))</x:f>
        <x:v>待匯入</x:v>
      </x:c>
      <x:c r="AL9" s="89"/>
      <x:c r="AM9" s="89"/>
      <x:c r="AN9" s="89"/>
      <x:c r="AO9" s="89"/>
      <x:c r="AP9" s="89"/>
      <x:c r="AQ9" s="89"/>
      <x:c r="AR9" s="89"/>
      <x:c r="AS9" s="89"/>
      <x:c r="AT9" s="89"/>
      <x:c r="AU9" s="89"/>
      <x:c r="AV9" s="89"/>
      <x:c r="AW9" s="89"/>
      <x:c r="AX9" s="89"/>
      <x:c r="AY9" s="89"/>
      <x:c r="AZ9" s="89"/>
      <x:c r="BA9" s="89"/>
      <x:c r="BB9" s="89"/>
      <x:c r="BC9" s="89"/>
      <x:c r="BD9" s="89"/>
      <x:c r="BE9" s="89"/>
      <x:c r="BF9" s="89"/>
      <x:c r="BG9" s="89"/>
      <x:c r="BH9" s="89"/>
      <x:c r="BI9" s="89"/>
      <x:c r="BJ9" s="89"/>
      <x:c r="BK9" s="89"/>
      <x:c r="BL9" s="89"/>
      <x:c r="BM9" s="89"/>
      <x:c r="BN9" s="89"/>
      <x:c r="BO9" s="89"/>
      <x:c r="BP9" s="89"/>
    </x:row>
    <x:row r="10" ht="23" customHeight="1">
      <x:c r="A10" s="59" t="str">
        <x:v>正職</x:v>
      </x:c>
      <x:c r="B10" s="59" t="str">
        <x:v>Emma</x:v>
      </x:c>
      <x:c r="C10" s="87"/>
      <x:c r="D10" s="87"/>
      <x:c r="E10" s="87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7"/>
      <x:c r="Q10" s="87"/>
      <x:c r="R10" s="87"/>
      <x:c r="S10" s="87"/>
      <x:c r="T10" s="87"/>
      <x:c r="U10" s="87"/>
      <x:c r="V10" s="87"/>
      <x:c r="W10" s="87"/>
      <x:c r="X10" s="87"/>
      <x:c r="Y10" s="87"/>
      <x:c r="Z10" s="87"/>
      <x:c r="AA10" s="87"/>
      <x:c r="AB10" s="87"/>
      <x:c r="AC10" s="87"/>
      <x:c r="AD10" s="87"/>
      <x:c r="AE10" s="87"/>
      <x:c r="AF10" s="87"/>
      <x:c r="AG10" s="88"/>
      <x:c r="AH10" s="61" t="str">
        <x:f>IF(COUNT(AL10:BP10)=0,"",SUM(AL10:BP10))</x:f>
      </x:c>
      <x:c r="AI10" s="62" t="str">
        <x:f>IF(COUNT(AL10:BP10)=0,"",COUNTIF(AL10:BP10,"&gt;0"))</x:f>
      </x:c>
      <x:c r="AJ10" s="50" t="str">
        <x:f>IF(COUNT(AL10:BP10)=0,"待匯入",IF(COUNT(AL10:BP10)=COUNT(C$5:AG$5),"完整","部分匯入"))</x:f>
        <x:v>待匯入</x:v>
      </x:c>
      <x:c r="AL10" s="89"/>
      <x:c r="AM10" s="89"/>
      <x:c r="AN10" s="89"/>
      <x:c r="AO10" s="89"/>
      <x:c r="AP10" s="89"/>
      <x:c r="AQ10" s="89"/>
      <x:c r="AR10" s="89"/>
      <x:c r="AS10" s="89"/>
      <x:c r="AT10" s="89"/>
      <x:c r="AU10" s="89"/>
      <x:c r="AV10" s="89"/>
      <x:c r="AW10" s="89"/>
      <x:c r="AX10" s="89"/>
      <x:c r="AY10" s="89"/>
      <x:c r="AZ10" s="89"/>
      <x:c r="BA10" s="89"/>
      <x:c r="BB10" s="89"/>
      <x:c r="BC10" s="89"/>
      <x:c r="BD10" s="89"/>
      <x:c r="BE10" s="89"/>
      <x:c r="BF10" s="89"/>
      <x:c r="BG10" s="89"/>
      <x:c r="BH10" s="89"/>
      <x:c r="BI10" s="89"/>
      <x:c r="BJ10" s="89"/>
      <x:c r="BK10" s="89"/>
      <x:c r="BL10" s="89"/>
      <x:c r="BM10" s="89"/>
      <x:c r="BN10" s="89"/>
      <x:c r="BO10" s="89"/>
      <x:c r="BP10" s="89"/>
    </x:row>
    <x:row r="11" ht="23" customHeight="1">
      <x:c r="A11" s="59" t="str">
        <x:v>工讀</x:v>
      </x:c>
      <x:c r="B11" s="59" t="str">
        <x:v>Brad</x:v>
      </x:c>
      <x:c r="C11" s="87"/>
      <x:c r="D11" s="87"/>
      <x:c r="E11" s="87"/>
      <x:c r="F11" s="87"/>
      <x:c r="G11" s="87"/>
      <x:c r="H11" s="87"/>
      <x:c r="I11" s="87"/>
      <x:c r="J11" s="87"/>
      <x:c r="K11" s="87"/>
      <x:c r="L11" s="87"/>
      <x:c r="M11" s="87"/>
      <x:c r="N11" s="87"/>
      <x:c r="O11" s="87"/>
      <x:c r="P11" s="87"/>
      <x:c r="Q11" s="87"/>
      <x:c r="R11" s="87"/>
      <x:c r="S11" s="87"/>
      <x:c r="T11" s="87"/>
      <x:c r="U11" s="87"/>
      <x:c r="V11" s="87"/>
      <x:c r="W11" s="87"/>
      <x:c r="X11" s="87"/>
      <x:c r="Y11" s="87"/>
      <x:c r="Z11" s="87"/>
      <x:c r="AA11" s="87"/>
      <x:c r="AB11" s="87"/>
      <x:c r="AC11" s="87"/>
      <x:c r="AD11" s="87"/>
      <x:c r="AE11" s="87"/>
      <x:c r="AF11" s="87"/>
      <x:c r="AG11" s="88"/>
      <x:c r="AH11" s="61" t="str">
        <x:f>IF(COUNT(AL11:BP11)=0,"",SUM(AL11:BP11))</x:f>
      </x:c>
      <x:c r="AI11" s="62" t="str">
        <x:f>IF(COUNT(AL11:BP11)=0,"",COUNTIF(AL11:BP11,"&gt;0"))</x:f>
      </x:c>
      <x:c r="AJ11" s="50" t="str">
        <x:f>IF(COUNT(AL11:BP11)=0,"待匯入",IF(COUNT(AL11:BP11)=COUNT(C$5:AG$5),"完整","部分匯入"))</x:f>
        <x:v>待匯入</x:v>
      </x:c>
      <x:c r="AL11" s="89"/>
      <x:c r="AM11" s="89"/>
      <x:c r="AN11" s="89"/>
      <x:c r="AO11" s="89"/>
      <x:c r="AP11" s="89"/>
      <x:c r="AQ11" s="89"/>
      <x:c r="AR11" s="89"/>
      <x:c r="AS11" s="89"/>
      <x:c r="AT11" s="89"/>
      <x:c r="AU11" s="89"/>
      <x:c r="AV11" s="89"/>
      <x:c r="AW11" s="89"/>
      <x:c r="AX11" s="89"/>
      <x:c r="AY11" s="89"/>
      <x:c r="AZ11" s="89"/>
      <x:c r="BA11" s="89"/>
      <x:c r="BB11" s="89"/>
      <x:c r="BC11" s="89"/>
      <x:c r="BD11" s="89"/>
      <x:c r="BE11" s="89"/>
      <x:c r="BF11" s="89"/>
      <x:c r="BG11" s="89"/>
      <x:c r="BH11" s="89"/>
      <x:c r="BI11" s="89"/>
      <x:c r="BJ11" s="89"/>
      <x:c r="BK11" s="89"/>
      <x:c r="BL11" s="89"/>
      <x:c r="BM11" s="89"/>
      <x:c r="BN11" s="89"/>
      <x:c r="BO11" s="89"/>
      <x:c r="BP11" s="89"/>
    </x:row>
    <x:row r="12" ht="23" customHeight="1">
      <x:c r="A12" s="59" t="str">
        <x:v>工讀</x:v>
      </x:c>
      <x:c r="B12" s="59" t="str">
        <x:v>Keanu</x:v>
      </x:c>
      <x:c r="C12" s="87"/>
      <x:c r="D12" s="87"/>
      <x:c r="E12" s="87"/>
      <x:c r="F12" s="87"/>
      <x:c r="G12" s="87"/>
      <x:c r="H12" s="87"/>
      <x:c r="I12" s="87"/>
      <x:c r="J12" s="87"/>
      <x:c r="K12" s="87"/>
      <x:c r="L12" s="87"/>
      <x:c r="M12" s="87"/>
      <x:c r="N12" s="87"/>
      <x:c r="O12" s="87"/>
      <x:c r="P12" s="87"/>
      <x:c r="Q12" s="87"/>
      <x:c r="R12" s="87"/>
      <x:c r="S12" s="87"/>
      <x:c r="T12" s="87"/>
      <x:c r="U12" s="87"/>
      <x:c r="V12" s="87"/>
      <x:c r="W12" s="87"/>
      <x:c r="X12" s="87"/>
      <x:c r="Y12" s="87"/>
      <x:c r="Z12" s="87"/>
      <x:c r="AA12" s="87"/>
      <x:c r="AB12" s="87"/>
      <x:c r="AC12" s="87"/>
      <x:c r="AD12" s="87"/>
      <x:c r="AE12" s="87"/>
      <x:c r="AF12" s="87"/>
      <x:c r="AG12" s="88"/>
      <x:c r="AH12" s="61" t="str">
        <x:f>IF(COUNT(AL12:BP12)=0,"",SUM(AL12:BP12))</x:f>
      </x:c>
      <x:c r="AI12" s="62" t="str">
        <x:f>IF(COUNT(AL12:BP12)=0,"",COUNTIF(AL12:BP12,"&gt;0"))</x:f>
      </x:c>
      <x:c r="AJ12" s="50" t="str">
        <x:f>IF(COUNT(AL12:BP12)=0,"待匯入",IF(COUNT(AL12:BP12)=COUNT(C$5:AG$5),"完整","部分匯入"))</x:f>
        <x:v>待匯入</x:v>
      </x:c>
      <x:c r="AL12" s="89"/>
      <x:c r="AM12" s="89"/>
      <x:c r="AN12" s="89"/>
      <x:c r="AO12" s="89"/>
      <x:c r="AP12" s="89"/>
      <x:c r="AQ12" s="89"/>
      <x:c r="AR12" s="89"/>
      <x:c r="AS12" s="89"/>
      <x:c r="AT12" s="89"/>
      <x:c r="AU12" s="89"/>
      <x:c r="AV12" s="89"/>
      <x:c r="AW12" s="89"/>
      <x:c r="AX12" s="89"/>
      <x:c r="AY12" s="89"/>
      <x:c r="AZ12" s="89"/>
      <x:c r="BA12" s="89"/>
      <x:c r="BB12" s="89"/>
      <x:c r="BC12" s="89"/>
      <x:c r="BD12" s="89"/>
      <x:c r="BE12" s="89"/>
      <x:c r="BF12" s="89"/>
      <x:c r="BG12" s="89"/>
      <x:c r="BH12" s="89"/>
      <x:c r="BI12" s="89"/>
      <x:c r="BJ12" s="89"/>
      <x:c r="BK12" s="89"/>
      <x:c r="BL12" s="89"/>
      <x:c r="BM12" s="89"/>
      <x:c r="BN12" s="89"/>
      <x:c r="BO12" s="89"/>
      <x:c r="BP12" s="89"/>
    </x:row>
    <x:row r="13" ht="23" customHeight="1">
      <x:c r="A13" s="59" t="str">
        <x:v>工讀</x:v>
      </x:c>
      <x:c r="B13" s="59" t="str">
        <x:v>Denzel</x:v>
      </x:c>
      <x:c r="C13" s="87"/>
      <x:c r="D13" s="87"/>
      <x:c r="E13" s="87"/>
      <x:c r="F13" s="87"/>
      <x:c r="G13" s="87"/>
      <x:c r="H13" s="87"/>
      <x:c r="I13" s="87"/>
      <x:c r="J13" s="87"/>
      <x:c r="K13" s="87"/>
      <x:c r="L13" s="87"/>
      <x:c r="M13" s="87"/>
      <x:c r="N13" s="87"/>
      <x:c r="O13" s="87"/>
      <x:c r="P13" s="87"/>
      <x:c r="Q13" s="87"/>
      <x:c r="R13" s="87"/>
      <x:c r="S13" s="87"/>
      <x:c r="T13" s="87"/>
      <x:c r="U13" s="87"/>
      <x:c r="V13" s="87"/>
      <x:c r="W13" s="87"/>
      <x:c r="X13" s="87"/>
      <x:c r="Y13" s="87"/>
      <x:c r="Z13" s="87"/>
      <x:c r="AA13" s="87"/>
      <x:c r="AB13" s="87"/>
      <x:c r="AC13" s="87"/>
      <x:c r="AD13" s="87"/>
      <x:c r="AE13" s="87"/>
      <x:c r="AF13" s="87"/>
      <x:c r="AG13" s="88"/>
      <x:c r="AH13" s="61" t="str">
        <x:f>IF(COUNT(AL13:BP13)=0,"",SUM(AL13:BP13))</x:f>
      </x:c>
      <x:c r="AI13" s="62" t="str">
        <x:f>IF(COUNT(AL13:BP13)=0,"",COUNTIF(AL13:BP13,"&gt;0"))</x:f>
      </x:c>
      <x:c r="AJ13" s="50" t="str">
        <x:f>IF(COUNT(AL13:BP13)=0,"待匯入",IF(COUNT(AL13:BP13)=COUNT(C$5:AG$5),"完整","部分匯入"))</x:f>
        <x:v>待匯入</x:v>
      </x:c>
      <x:c r="AL13" s="89"/>
      <x:c r="AM13" s="89"/>
      <x:c r="AN13" s="89"/>
      <x:c r="AO13" s="89"/>
      <x:c r="AP13" s="89"/>
      <x:c r="AQ13" s="89"/>
      <x:c r="AR13" s="89"/>
      <x:c r="AS13" s="89"/>
      <x:c r="AT13" s="89"/>
      <x:c r="AU13" s="89"/>
      <x:c r="AV13" s="89"/>
      <x:c r="AW13" s="89"/>
      <x:c r="AX13" s="89"/>
      <x:c r="AY13" s="89"/>
      <x:c r="AZ13" s="89"/>
      <x:c r="BA13" s="89"/>
      <x:c r="BB13" s="89"/>
      <x:c r="BC13" s="89"/>
      <x:c r="BD13" s="89"/>
      <x:c r="BE13" s="89"/>
      <x:c r="BF13" s="89"/>
      <x:c r="BG13" s="89"/>
      <x:c r="BH13" s="89"/>
      <x:c r="BI13" s="89"/>
      <x:c r="BJ13" s="89"/>
      <x:c r="BK13" s="89"/>
      <x:c r="BL13" s="89"/>
      <x:c r="BM13" s="89"/>
      <x:c r="BN13" s="89"/>
      <x:c r="BO13" s="89"/>
      <x:c r="BP13" s="89"/>
    </x:row>
    <x:row r="14" ht="23" customHeight="1">
      <x:c r="A14" s="59" t="str">
        <x:v>工讀</x:v>
      </x:c>
      <x:c r="B14" s="59" t="str">
        <x:v>Will</x:v>
      </x:c>
      <x:c r="C14" s="87"/>
      <x:c r="D14" s="87"/>
      <x:c r="E14" s="87"/>
      <x:c r="F14" s="87"/>
      <x:c r="G14" s="87"/>
      <x:c r="H14" s="87"/>
      <x:c r="I14" s="87"/>
      <x:c r="J14" s="87"/>
      <x:c r="K14" s="87"/>
      <x:c r="L14" s="87"/>
      <x:c r="M14" s="87"/>
      <x:c r="N14" s="87"/>
      <x:c r="O14" s="87"/>
      <x:c r="P14" s="87"/>
      <x:c r="Q14" s="87"/>
      <x:c r="R14" s="87"/>
      <x:c r="S14" s="87"/>
      <x:c r="T14" s="87"/>
      <x:c r="U14" s="87"/>
      <x:c r="V14" s="87"/>
      <x:c r="W14" s="87"/>
      <x:c r="X14" s="87"/>
      <x:c r="Y14" s="87"/>
      <x:c r="Z14" s="87"/>
      <x:c r="AA14" s="87"/>
      <x:c r="AB14" s="87"/>
      <x:c r="AC14" s="87"/>
      <x:c r="AD14" s="87"/>
      <x:c r="AE14" s="87"/>
      <x:c r="AF14" s="87"/>
      <x:c r="AG14" s="88"/>
      <x:c r="AH14" s="61" t="str">
        <x:f>IF(COUNT(AL14:BP14)=0,"",SUM(AL14:BP14))</x:f>
      </x:c>
      <x:c r="AI14" s="62" t="str">
        <x:f>IF(COUNT(AL14:BP14)=0,"",COUNTIF(AL14:BP14,"&gt;0"))</x:f>
      </x:c>
      <x:c r="AJ14" s="50" t="str">
        <x:f>IF(COUNT(AL14:BP14)=0,"待匯入",IF(COUNT(AL14:BP14)=COUNT(C$5:AG$5),"完整","部分匯入"))</x:f>
        <x:v>待匯入</x:v>
      </x:c>
      <x:c r="AL14" s="89"/>
      <x:c r="AM14" s="89"/>
      <x:c r="AN14" s="89"/>
      <x:c r="AO14" s="89"/>
      <x:c r="AP14" s="89"/>
      <x:c r="AQ14" s="89"/>
      <x:c r="AR14" s="89"/>
      <x:c r="AS14" s="89"/>
      <x:c r="AT14" s="89"/>
      <x:c r="AU14" s="89"/>
      <x:c r="AV14" s="89"/>
      <x:c r="AW14" s="89"/>
      <x:c r="AX14" s="89"/>
      <x:c r="AY14" s="89"/>
      <x:c r="AZ14" s="89"/>
      <x:c r="BA14" s="89"/>
      <x:c r="BB14" s="89"/>
      <x:c r="BC14" s="89"/>
      <x:c r="BD14" s="89"/>
      <x:c r="BE14" s="89"/>
      <x:c r="BF14" s="89"/>
      <x:c r="BG14" s="89"/>
      <x:c r="BH14" s="89"/>
      <x:c r="BI14" s="89"/>
      <x:c r="BJ14" s="89"/>
      <x:c r="BK14" s="89"/>
      <x:c r="BL14" s="89"/>
      <x:c r="BM14" s="89"/>
      <x:c r="BN14" s="89"/>
      <x:c r="BO14" s="89"/>
      <x:c r="BP14" s="89"/>
    </x:row>
    <x:row r="15" ht="23" customHeight="1">
      <x:c r="A15" s="59" t="str">
        <x:v>工讀</x:v>
      </x:c>
      <x:c r="B15" s="59" t="str">
        <x:v>Leo</x:v>
      </x:c>
      <x:c r="C15" s="87"/>
      <x:c r="D15" s="87"/>
      <x:c r="E15" s="87"/>
      <x:c r="F15" s="87"/>
      <x:c r="G15" s="87"/>
      <x:c r="H15" s="87"/>
      <x:c r="I15" s="87"/>
      <x:c r="J15" s="87"/>
      <x:c r="K15" s="87"/>
      <x:c r="L15" s="87"/>
      <x:c r="M15" s="87"/>
      <x:c r="N15" s="87"/>
      <x:c r="O15" s="87"/>
      <x:c r="P15" s="87"/>
      <x:c r="Q15" s="87"/>
      <x:c r="R15" s="87"/>
      <x:c r="S15" s="87"/>
      <x:c r="T15" s="87"/>
      <x:c r="U15" s="87"/>
      <x:c r="V15" s="87"/>
      <x:c r="W15" s="87"/>
      <x:c r="X15" s="87"/>
      <x:c r="Y15" s="87"/>
      <x:c r="Z15" s="87"/>
      <x:c r="AA15" s="87"/>
      <x:c r="AB15" s="87"/>
      <x:c r="AC15" s="87"/>
      <x:c r="AD15" s="87"/>
      <x:c r="AE15" s="87"/>
      <x:c r="AF15" s="87"/>
      <x:c r="AG15" s="88"/>
      <x:c r="AH15" s="61" t="str">
        <x:f>IF(COUNT(AL15:BP15)=0,"",SUM(AL15:BP15))</x:f>
      </x:c>
      <x:c r="AI15" s="62" t="str">
        <x:f>IF(COUNT(AL15:BP15)=0,"",COUNTIF(AL15:BP15,"&gt;0"))</x:f>
      </x:c>
      <x:c r="AJ15" s="50" t="str">
        <x:f>IF(COUNT(AL15:BP15)=0,"待匯入",IF(COUNT(AL15:BP15)=COUNT(C$5:AG$5),"完整","部分匯入"))</x:f>
        <x:v>待匯入</x:v>
      </x:c>
      <x:c r="AL15" s="89"/>
      <x:c r="AM15" s="89"/>
      <x:c r="AN15" s="89"/>
      <x:c r="AO15" s="89"/>
      <x:c r="AP15" s="89"/>
      <x:c r="AQ15" s="89"/>
      <x:c r="AR15" s="89"/>
      <x:c r="AS15" s="89"/>
      <x:c r="AT15" s="89"/>
      <x:c r="AU15" s="89"/>
      <x:c r="AV15" s="89"/>
      <x:c r="AW15" s="89"/>
      <x:c r="AX15" s="89"/>
      <x:c r="AY15" s="89"/>
      <x:c r="AZ15" s="89"/>
      <x:c r="BA15" s="89"/>
      <x:c r="BB15" s="89"/>
      <x:c r="BC15" s="89"/>
      <x:c r="BD15" s="89"/>
      <x:c r="BE15" s="89"/>
      <x:c r="BF15" s="89"/>
      <x:c r="BG15" s="89"/>
      <x:c r="BH15" s="89"/>
      <x:c r="BI15" s="89"/>
      <x:c r="BJ15" s="89"/>
      <x:c r="BK15" s="89"/>
      <x:c r="BL15" s="89"/>
      <x:c r="BM15" s="89"/>
      <x:c r="BN15" s="89"/>
      <x:c r="BO15" s="89"/>
      <x:c r="BP15" s="89"/>
    </x:row>
    <x:row r="16" ht="23" customHeight="1">
      <x:c r="A16" s="59" t="str">
        <x:v>工讀</x:v>
      </x:c>
      <x:c r="B16" s="59" t="str">
        <x:v>Zendaya</x:v>
      </x:c>
      <x:c r="C16" s="87"/>
      <x:c r="D16" s="87"/>
      <x:c r="E16" s="87"/>
      <x:c r="F16" s="87"/>
      <x:c r="G16" s="87"/>
      <x:c r="H16" s="87"/>
      <x:c r="I16" s="87"/>
      <x:c r="J16" s="87"/>
      <x:c r="K16" s="87"/>
      <x:c r="L16" s="87"/>
      <x:c r="M16" s="87"/>
      <x:c r="N16" s="87"/>
      <x:c r="O16" s="87"/>
      <x:c r="P16" s="87"/>
      <x:c r="Q16" s="87"/>
      <x:c r="R16" s="87"/>
      <x:c r="S16" s="87"/>
      <x:c r="T16" s="87"/>
      <x:c r="U16" s="87"/>
      <x:c r="V16" s="87"/>
      <x:c r="W16" s="87"/>
      <x:c r="X16" s="87"/>
      <x:c r="Y16" s="87"/>
      <x:c r="Z16" s="87"/>
      <x:c r="AA16" s="87"/>
      <x:c r="AB16" s="87"/>
      <x:c r="AC16" s="87"/>
      <x:c r="AD16" s="87"/>
      <x:c r="AE16" s="87"/>
      <x:c r="AF16" s="87"/>
      <x:c r="AG16" s="88"/>
      <x:c r="AH16" s="61" t="str">
        <x:f>IF(COUNT(AL16:BP16)=0,"",SUM(AL16:BP16))</x:f>
      </x:c>
      <x:c r="AI16" s="62" t="str">
        <x:f>IF(COUNT(AL16:BP16)=0,"",COUNTIF(AL16:BP16,"&gt;0"))</x:f>
      </x:c>
      <x:c r="AJ16" s="50" t="str">
        <x:f>IF(COUNT(AL16:BP16)=0,"待匯入",IF(COUNT(AL16:BP16)=COUNT(C$5:AG$5),"完整","部分匯入"))</x:f>
        <x:v>待匯入</x:v>
      </x:c>
      <x:c r="AL16" s="89"/>
      <x:c r="AM16" s="89"/>
      <x:c r="AN16" s="89"/>
      <x:c r="AO16" s="89"/>
      <x:c r="AP16" s="89"/>
      <x:c r="AQ16" s="89"/>
      <x:c r="AR16" s="89"/>
      <x:c r="AS16" s="89"/>
      <x:c r="AT16" s="89"/>
      <x:c r="AU16" s="89"/>
      <x:c r="AV16" s="89"/>
      <x:c r="AW16" s="89"/>
      <x:c r="AX16" s="89"/>
      <x:c r="AY16" s="89"/>
      <x:c r="AZ16" s="89"/>
      <x:c r="BA16" s="89"/>
      <x:c r="BB16" s="89"/>
      <x:c r="BC16" s="89"/>
      <x:c r="BD16" s="89"/>
      <x:c r="BE16" s="89"/>
      <x:c r="BF16" s="89"/>
      <x:c r="BG16" s="89"/>
      <x:c r="BH16" s="89"/>
      <x:c r="BI16" s="89"/>
      <x:c r="BJ16" s="89"/>
      <x:c r="BK16" s="89"/>
      <x:c r="BL16" s="89"/>
      <x:c r="BM16" s="89"/>
      <x:c r="BN16" s="89"/>
      <x:c r="BO16" s="89"/>
      <x:c r="BP16" s="89"/>
    </x:row>
    <x:row r="17" ht="23" customHeight="1">
      <x:c r="A17" s="59" t="str">
        <x:v>工讀</x:v>
      </x:c>
      <x:c r="B17" s="59" t="str">
        <x:v>Morgan</x:v>
      </x:c>
      <x:c r="C17" s="87"/>
      <x:c r="D17" s="87"/>
      <x:c r="E17" s="87"/>
      <x:c r="F17" s="87"/>
      <x:c r="G17" s="87"/>
      <x:c r="H17" s="87"/>
      <x:c r="I17" s="87"/>
      <x:c r="J17" s="87"/>
      <x:c r="K17" s="87"/>
      <x:c r="L17" s="87"/>
      <x:c r="M17" s="87"/>
      <x:c r="N17" s="87"/>
      <x:c r="O17" s="87"/>
      <x:c r="P17" s="87"/>
      <x:c r="Q17" s="87"/>
      <x:c r="R17" s="87"/>
      <x:c r="S17" s="87"/>
      <x:c r="T17" s="87"/>
      <x:c r="U17" s="87"/>
      <x:c r="V17" s="87"/>
      <x:c r="W17" s="87"/>
      <x:c r="X17" s="87"/>
      <x:c r="Y17" s="87"/>
      <x:c r="Z17" s="87"/>
      <x:c r="AA17" s="87"/>
      <x:c r="AB17" s="87"/>
      <x:c r="AC17" s="87"/>
      <x:c r="AD17" s="87"/>
      <x:c r="AE17" s="87"/>
      <x:c r="AF17" s="87"/>
      <x:c r="AG17" s="88"/>
      <x:c r="AH17" s="61" t="str">
        <x:f>IF(COUNT(AL17:BP17)=0,"",SUM(AL17:BP17))</x:f>
      </x:c>
      <x:c r="AI17" s="62" t="str">
        <x:f>IF(COUNT(AL17:BP17)=0,"",COUNTIF(AL17:BP17,"&gt;0"))</x:f>
      </x:c>
      <x:c r="AJ17" s="50" t="str">
        <x:f>IF(COUNT(AL17:BP17)=0,"待匯入",IF(COUNT(AL17:BP17)=COUNT(C$5:AG$5),"完整","部分匯入"))</x:f>
        <x:v>待匯入</x:v>
      </x:c>
      <x:c r="AL17" s="89"/>
      <x:c r="AM17" s="89"/>
      <x:c r="AN17" s="89"/>
      <x:c r="AO17" s="89"/>
      <x:c r="AP17" s="89"/>
      <x:c r="AQ17" s="89"/>
      <x:c r="AR17" s="89"/>
      <x:c r="AS17" s="89"/>
      <x:c r="AT17" s="89"/>
      <x:c r="AU17" s="89"/>
      <x:c r="AV17" s="89"/>
      <x:c r="AW17" s="89"/>
      <x:c r="AX17" s="89"/>
      <x:c r="AY17" s="89"/>
      <x:c r="AZ17" s="89"/>
      <x:c r="BA17" s="89"/>
      <x:c r="BB17" s="89"/>
      <x:c r="BC17" s="89"/>
      <x:c r="BD17" s="89"/>
      <x:c r="BE17" s="89"/>
      <x:c r="BF17" s="89"/>
      <x:c r="BG17" s="89"/>
      <x:c r="BH17" s="89"/>
      <x:c r="BI17" s="89"/>
      <x:c r="BJ17" s="89"/>
      <x:c r="BK17" s="89"/>
      <x:c r="BL17" s="89"/>
      <x:c r="BM17" s="89"/>
      <x:c r="BN17" s="89"/>
      <x:c r="BO17" s="89"/>
      <x:c r="BP17" s="89"/>
    </x:row>
    <x:row r="18" ht="23" customHeight="1">
      <x:c r="A18" s="59" t="str">
        <x:v>工讀</x:v>
      </x:c>
      <x:c r="B18" s="59" t="str">
        <x:v>Scarlett</x:v>
      </x:c>
      <x:c r="C18" s="87"/>
      <x:c r="D18" s="87"/>
      <x:c r="E18" s="87"/>
      <x:c r="F18" s="87"/>
      <x:c r="G18" s="87"/>
      <x:c r="H18" s="87"/>
      <x:c r="I18" s="87"/>
      <x:c r="J18" s="87"/>
      <x:c r="K18" s="87"/>
      <x:c r="L18" s="87"/>
      <x:c r="M18" s="87"/>
      <x:c r="N18" s="87"/>
      <x:c r="O18" s="87"/>
      <x:c r="P18" s="87"/>
      <x:c r="Q18" s="87"/>
      <x:c r="R18" s="87"/>
      <x:c r="S18" s="87"/>
      <x:c r="T18" s="87"/>
      <x:c r="U18" s="87"/>
      <x:c r="V18" s="87"/>
      <x:c r="W18" s="87"/>
      <x:c r="X18" s="87"/>
      <x:c r="Y18" s="87"/>
      <x:c r="Z18" s="87"/>
      <x:c r="AA18" s="87"/>
      <x:c r="AB18" s="87"/>
      <x:c r="AC18" s="87"/>
      <x:c r="AD18" s="87"/>
      <x:c r="AE18" s="87"/>
      <x:c r="AF18" s="87"/>
      <x:c r="AG18" s="88"/>
      <x:c r="AH18" s="61" t="str">
        <x:f>IF(COUNT(AL18:BP18)=0,"",SUM(AL18:BP18))</x:f>
      </x:c>
      <x:c r="AI18" s="62" t="str">
        <x:f>IF(COUNT(AL18:BP18)=0,"",COUNTIF(AL18:BP18,"&gt;0"))</x:f>
      </x:c>
      <x:c r="AJ18" s="50" t="str">
        <x:f>IF(COUNT(AL18:BP18)=0,"待匯入",IF(COUNT(AL18:BP18)=COUNT(C$5:AG$5),"完整","部分匯入"))</x:f>
        <x:v>待匯入</x:v>
      </x:c>
      <x:c r="AL18" s="89"/>
      <x:c r="AM18" s="89"/>
      <x:c r="AN18" s="89"/>
      <x:c r="AO18" s="89"/>
      <x:c r="AP18" s="89"/>
      <x:c r="AQ18" s="89"/>
      <x:c r="AR18" s="89"/>
      <x:c r="AS18" s="89"/>
      <x:c r="AT18" s="89"/>
      <x:c r="AU18" s="89"/>
      <x:c r="AV18" s="89"/>
      <x:c r="AW18" s="89"/>
      <x:c r="AX18" s="89"/>
      <x:c r="AY18" s="89"/>
      <x:c r="AZ18" s="89"/>
      <x:c r="BA18" s="89"/>
      <x:c r="BB18" s="89"/>
      <x:c r="BC18" s="89"/>
      <x:c r="BD18" s="89"/>
      <x:c r="BE18" s="89"/>
      <x:c r="BF18" s="89"/>
      <x:c r="BG18" s="89"/>
      <x:c r="BH18" s="89"/>
      <x:c r="BI18" s="89"/>
      <x:c r="BJ18" s="89"/>
      <x:c r="BK18" s="89"/>
      <x:c r="BL18" s="89"/>
      <x:c r="BM18" s="89"/>
      <x:c r="BN18" s="89"/>
      <x:c r="BO18" s="89"/>
      <x:c r="BP18" s="89"/>
    </x:row>
    <x:row r="19" ht="23" customHeight="1">
      <x:c r="A19" s="44"/>
      <x:c r="B19" s="44"/>
      <x:c r="C19" s="70"/>
      <x:c r="D19" s="70"/>
      <x:c r="E19" s="70"/>
      <x:c r="F19" s="70"/>
      <x:c r="G19" s="70"/>
      <x:c r="H19" s="70"/>
      <x:c r="I19" s="70"/>
      <x:c r="J19" s="70"/>
      <x:c r="K19" s="70"/>
      <x:c r="L19" s="70"/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84"/>
      <x:c r="AH19" s="44"/>
      <x:c r="AI19" s="44"/>
      <x:c r="AJ19" s="44"/>
    </x:row>
    <x:row r="20" ht="23" customHeight="1">
      <x:c r="A20" s="64" t="str">
        <x:v>全店每日工時</x:v>
      </x:c>
      <x:c r="B20" s="64"/>
      <x:c r="C20" s="71" t="str">
        <x:f>IF(COUNT(AL8:AL18)=0,"",SUM(AL8:AL18))</x:f>
      </x:c>
      <x:c r="D20" s="71" t="str">
        <x:f>IF(COUNT(AM8:AM18)=0,"",SUM(AM8:AM18))</x:f>
      </x:c>
      <x:c r="E20" s="71" t="str">
        <x:f>IF(COUNT(AN8:AN18)=0,"",SUM(AN8:AN18))</x:f>
      </x:c>
      <x:c r="F20" s="71" t="str">
        <x:f>IF(COUNT(AO8:AO18)=0,"",SUM(AO8:AO18))</x:f>
      </x:c>
      <x:c r="G20" s="71" t="str">
        <x:f>IF(COUNT(AP8:AP18)=0,"",SUM(AP8:AP18))</x:f>
      </x:c>
      <x:c r="H20" s="71" t="str">
        <x:f>IF(COUNT(AQ8:AQ18)=0,"",SUM(AQ8:AQ18))</x:f>
      </x:c>
      <x:c r="I20" s="71" t="str">
        <x:f>IF(COUNT(AR8:AR18)=0,"",SUM(AR8:AR18))</x:f>
      </x:c>
      <x:c r="J20" s="71" t="str">
        <x:f>IF(COUNT(AS8:AS18)=0,"",SUM(AS8:AS18))</x:f>
      </x:c>
      <x:c r="K20" s="71" t="str">
        <x:f>IF(COUNT(AT8:AT18)=0,"",SUM(AT8:AT18))</x:f>
      </x:c>
      <x:c r="L20" s="71" t="str">
        <x:f>IF(COUNT(AU8:AU18)=0,"",SUM(AU8:AU18))</x:f>
      </x:c>
      <x:c r="M20" s="71" t="str">
        <x:f>IF(COUNT(AV8:AV18)=0,"",SUM(AV8:AV18))</x:f>
      </x:c>
      <x:c r="N20" s="71" t="str">
        <x:f>IF(COUNT(AW8:AW18)=0,"",SUM(AW8:AW18))</x:f>
      </x:c>
      <x:c r="O20" s="71" t="str">
        <x:f>IF(COUNT(AX8:AX18)=0,"",SUM(AX8:AX18))</x:f>
      </x:c>
      <x:c r="P20" s="71" t="str">
        <x:f>IF(COUNT(AY8:AY18)=0,"",SUM(AY8:AY18))</x:f>
      </x:c>
      <x:c r="Q20" s="71" t="str">
        <x:f>IF(COUNT(AZ8:AZ18)=0,"",SUM(AZ8:AZ18))</x:f>
      </x:c>
      <x:c r="R20" s="71" t="str">
        <x:f>IF(COUNT(BA8:BA18)=0,"",SUM(BA8:BA18))</x:f>
      </x:c>
      <x:c r="S20" s="71" t="str">
        <x:f>IF(COUNT(BB8:BB18)=0,"",SUM(BB8:BB18))</x:f>
      </x:c>
      <x:c r="T20" s="71" t="str">
        <x:f>IF(COUNT(BC8:BC18)=0,"",SUM(BC8:BC18))</x:f>
      </x:c>
      <x:c r="U20" s="71" t="str">
        <x:f>IF(COUNT(BD8:BD18)=0,"",SUM(BD8:BD18))</x:f>
      </x:c>
      <x:c r="V20" s="71" t="str">
        <x:f>IF(COUNT(BE8:BE18)=0,"",SUM(BE8:BE18))</x:f>
      </x:c>
      <x:c r="W20" s="71" t="str">
        <x:f>IF(COUNT(BF8:BF18)=0,"",SUM(BF8:BF18))</x:f>
      </x:c>
      <x:c r="X20" s="71" t="str">
        <x:f>IF(COUNT(BG8:BG18)=0,"",SUM(BG8:BG18))</x:f>
      </x:c>
      <x:c r="Y20" s="71" t="str">
        <x:f>IF(COUNT(BH8:BH18)=0,"",SUM(BH8:BH18))</x:f>
      </x:c>
      <x:c r="Z20" s="71" t="str">
        <x:f>IF(COUNT(BI8:BI18)=0,"",SUM(BI8:BI18))</x:f>
      </x:c>
      <x:c r="AA20" s="71" t="str">
        <x:f>IF(COUNT(BJ8:BJ18)=0,"",SUM(BJ8:BJ18))</x:f>
      </x:c>
      <x:c r="AB20" s="71" t="str">
        <x:f>IF(COUNT(BK8:BK18)=0,"",SUM(BK8:BK18))</x:f>
      </x:c>
      <x:c r="AC20" s="71" t="str">
        <x:f>IF(COUNT(BL8:BL18)=0,"",SUM(BL8:BL18))</x:f>
      </x:c>
      <x:c r="AD20" s="71" t="str">
        <x:f>IF(COUNT(BM8:BM18)=0,"",SUM(BM8:BM18))</x:f>
      </x:c>
      <x:c r="AE20" s="71" t="str">
        <x:f>IF(COUNT(BN8:BN18)=0,"",SUM(BN8:BN18))</x:f>
      </x:c>
      <x:c r="AF20" s="71" t="str">
        <x:f>IF(COUNT(BO8:BO18)=0,"",SUM(BO8:BO18))</x:f>
      </x:c>
      <x:c r="AG20" s="85"/>
      <x:c r="AH20" s="65" t="str">
        <x:f>IF(COUNT(AL8:BP18)=0,"",SUM(AH8:AH18))</x:f>
      </x:c>
      <x:c r="AI20" s="64"/>
      <x:c r="AJ20" s="64" t="str">
        <x:f>IF(COUNT(AL8:BP18)=0,"待匯入",IF(COUNT(AL8:BP18)=COUNT(C5:AG5)*ROWS(C8:C18),"完整","部分匯入"))</x:f>
        <x:v>待匯入</x:v>
      </x:c>
    </x:row>
    <x:row r="21" ht="23" customHeight="1">
      <x:c r="A21" s="64" t="str">
        <x:v>每日排班人數</x:v>
      </x:c>
      <x:c r="B21" s="64"/>
      <x:c r="C21" s="72" t="str">
        <x:f>IF(COUNT(AL8:AL18)=0,"",COUNTIF(AL8:AL18,"&gt;0"))</x:f>
      </x:c>
      <x:c r="D21" s="72" t="str">
        <x:f>IF(COUNT(AM8:AM18)=0,"",COUNTIF(AM8:AM18,"&gt;0"))</x:f>
      </x:c>
      <x:c r="E21" s="72" t="str">
        <x:f>IF(COUNT(AN8:AN18)=0,"",COUNTIF(AN8:AN18,"&gt;0"))</x:f>
      </x:c>
      <x:c r="F21" s="72" t="str">
        <x:f>IF(COUNT(AO8:AO18)=0,"",COUNTIF(AO8:AO18,"&gt;0"))</x:f>
      </x:c>
      <x:c r="G21" s="72" t="str">
        <x:f>IF(COUNT(AP8:AP18)=0,"",COUNTIF(AP8:AP18,"&gt;0"))</x:f>
      </x:c>
      <x:c r="H21" s="72" t="str">
        <x:f>IF(COUNT(AQ8:AQ18)=0,"",COUNTIF(AQ8:AQ18,"&gt;0"))</x:f>
      </x:c>
      <x:c r="I21" s="72" t="str">
        <x:f>IF(COUNT(AR8:AR18)=0,"",COUNTIF(AR8:AR18,"&gt;0"))</x:f>
      </x:c>
      <x:c r="J21" s="72" t="str">
        <x:f>IF(COUNT(AS8:AS18)=0,"",COUNTIF(AS8:AS18,"&gt;0"))</x:f>
      </x:c>
      <x:c r="K21" s="72" t="str">
        <x:f>IF(COUNT(AT8:AT18)=0,"",COUNTIF(AT8:AT18,"&gt;0"))</x:f>
      </x:c>
      <x:c r="L21" s="72" t="str">
        <x:f>IF(COUNT(AU8:AU18)=0,"",COUNTIF(AU8:AU18,"&gt;0"))</x:f>
      </x:c>
      <x:c r="M21" s="72" t="str">
        <x:f>IF(COUNT(AV8:AV18)=0,"",COUNTIF(AV8:AV18,"&gt;0"))</x:f>
      </x:c>
      <x:c r="N21" s="72" t="str">
        <x:f>IF(COUNT(AW8:AW18)=0,"",COUNTIF(AW8:AW18,"&gt;0"))</x:f>
      </x:c>
      <x:c r="O21" s="72" t="str">
        <x:f>IF(COUNT(AX8:AX18)=0,"",COUNTIF(AX8:AX18,"&gt;0"))</x:f>
      </x:c>
      <x:c r="P21" s="72" t="str">
        <x:f>IF(COUNT(AY8:AY18)=0,"",COUNTIF(AY8:AY18,"&gt;0"))</x:f>
      </x:c>
      <x:c r="Q21" s="72" t="str">
        <x:f>IF(COUNT(AZ8:AZ18)=0,"",COUNTIF(AZ8:AZ18,"&gt;0"))</x:f>
      </x:c>
      <x:c r="R21" s="72" t="str">
        <x:f>IF(COUNT(BA8:BA18)=0,"",COUNTIF(BA8:BA18,"&gt;0"))</x:f>
      </x:c>
      <x:c r="S21" s="72" t="str">
        <x:f>IF(COUNT(BB8:BB18)=0,"",COUNTIF(BB8:BB18,"&gt;0"))</x:f>
      </x:c>
      <x:c r="T21" s="72" t="str">
        <x:f>IF(COUNT(BC8:BC18)=0,"",COUNTIF(BC8:BC18,"&gt;0"))</x:f>
      </x:c>
      <x:c r="U21" s="72" t="str">
        <x:f>IF(COUNT(BD8:BD18)=0,"",COUNTIF(BD8:BD18,"&gt;0"))</x:f>
      </x:c>
      <x:c r="V21" s="72" t="str">
        <x:f>IF(COUNT(BE8:BE18)=0,"",COUNTIF(BE8:BE18,"&gt;0"))</x:f>
      </x:c>
      <x:c r="W21" s="72" t="str">
        <x:f>IF(COUNT(BF8:BF18)=0,"",COUNTIF(BF8:BF18,"&gt;0"))</x:f>
      </x:c>
      <x:c r="X21" s="72" t="str">
        <x:f>IF(COUNT(BG8:BG18)=0,"",COUNTIF(BG8:BG18,"&gt;0"))</x:f>
      </x:c>
      <x:c r="Y21" s="72" t="str">
        <x:f>IF(COUNT(BH8:BH18)=0,"",COUNTIF(BH8:BH18,"&gt;0"))</x:f>
      </x:c>
      <x:c r="Z21" s="72" t="str">
        <x:f>IF(COUNT(BI8:BI18)=0,"",COUNTIF(BI8:BI18,"&gt;0"))</x:f>
      </x:c>
      <x:c r="AA21" s="72" t="str">
        <x:f>IF(COUNT(BJ8:BJ18)=0,"",COUNTIF(BJ8:BJ18,"&gt;0"))</x:f>
      </x:c>
      <x:c r="AB21" s="72" t="str">
        <x:f>IF(COUNT(BK8:BK18)=0,"",COUNTIF(BK8:BK18,"&gt;0"))</x:f>
      </x:c>
      <x:c r="AC21" s="72" t="str">
        <x:f>IF(COUNT(BL8:BL18)=0,"",COUNTIF(BL8:BL18,"&gt;0"))</x:f>
      </x:c>
      <x:c r="AD21" s="72" t="str">
        <x:f>IF(COUNT(BM8:BM18)=0,"",COUNTIF(BM8:BM18,"&gt;0"))</x:f>
      </x:c>
      <x:c r="AE21" s="72" t="str">
        <x:f>IF(COUNT(BN8:BN18)=0,"",COUNTIF(BN8:BN18,"&gt;0"))</x:f>
      </x:c>
      <x:c r="AF21" s="72" t="str">
        <x:f>IF(COUNT(BO8:BO18)=0,"",COUNTIF(BO8:BO18,"&gt;0"))</x:f>
      </x:c>
      <x:c r="AG21" s="86"/>
      <x:c r="AH21" s="64"/>
      <x:c r="AI21" s="64"/>
      <x:c r="AJ21" s="64"/>
    </x:row>
    <x:row r="22" ht="23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  <x:c r="AA22" s="44"/>
      <x:c r="AB22" s="44"/>
      <x:c r="AC22" s="44"/>
      <x:c r="AD22" s="44"/>
      <x:c r="AE22" s="44"/>
      <x:c r="AF22" s="44"/>
      <x:c r="AG22" s="44"/>
      <x:c r="AH22" s="44"/>
      <x:c r="AI22" s="44"/>
      <x:c r="AJ22" s="44"/>
    </x:row>
    <x:row r="23" ht="25" customHeight="1">
      <x:c r="A23" s="45" t="str">
        <x:v>每日格只顯示精簡上下班時間；月總工時、工作天與每日合計取自每週「班次明細」的預估淨工時。週班表更正時須重新匯入該週，不直接手改月表。本表不取代打卡、實際休息、假別認定或薪資核算。</x:v>
      </x:c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</x:row>
    <x:row r="24" ht="25" customHeight="1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</x:row>
    <x:row r="25" ht="25" customHeight="1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</x:row>
  </x:sheetData>
  <x:mergeCells>
    <x:mergeCell ref="A1:AJ1"/>
    <x:mergeCell ref="A3:AJ3"/>
    <x:mergeCell ref="A2:D2"/>
    <x:mergeCell ref="E2:H2"/>
    <x:mergeCell ref="I2:M2"/>
    <x:mergeCell ref="N2:R2"/>
    <x:mergeCell ref="A5:A7"/>
    <x:mergeCell ref="B5:B7"/>
    <x:mergeCell ref="AH5:AH7"/>
    <x:mergeCell ref="AI5:AI7"/>
    <x:mergeCell ref="AJ5:AJ7"/>
    <x:mergeCell ref="A20:B20"/>
    <x:mergeCell ref="A21:B21"/>
    <x:mergeCell ref="A23:AJ25"/>
  </x:mergeCells>
  <x:conditionalFormatting sqref="AJ8:AJ18">
    <x:cfRule type="containsText" dxfId="6" priority="1" operator="containsText" text="待匯入"/>
    <x:cfRule type="containsText" dxfId="7" priority="2" operator="containsText" text="部分匯入"/>
    <x:cfRule type="containsText" dxfId="8" priority="3" operator="containsText" text="完整"/>
  </x:conditionalFormatting>
  <x:conditionalFormatting sqref="N2:R2">
    <x:cfRule type="containsText" dxfId="9" priority="4" operator="containsText" text="待匯入"/>
    <x:cfRule type="containsText" dxfId="10" priority="5" operator="containsText" text="整月完成"/>
  </x:conditionalFormatting>
  <x:pageMargins left="0.7" right="0.7" top="0.75" bottom="0.75" header="0.3" footer="0.3"/>
</x:worksheet>
</file>